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worksheets/sheet33.xml" ContentType="application/vnd.openxmlformats-officedocument.spreadsheetml.worksheet+xml"/>
  <Override PartName="/xl/tables/table33.xml" ContentType="application/vnd.openxmlformats-officedocument.spreadsheetml.table+xml"/>
  <Override PartName="/xl/worksheets/sheet34.xml" ContentType="application/vnd.openxmlformats-officedocument.spreadsheetml.worksheet+xml"/>
  <Override PartName="/xl/tables/table34.xml" ContentType="application/vnd.openxmlformats-officedocument.spreadsheetml.table+xml"/>
  <Override PartName="/xl/worksheets/sheet35.xml" ContentType="application/vnd.openxmlformats-officedocument.spreadsheetml.worksheet+xml"/>
  <Override PartName="/xl/tables/table35.xml" ContentType="application/vnd.openxmlformats-officedocument.spreadsheetml.table+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S-01 Registrasi" sheetId="1" state="visible" r:id="rId1"/>
    <sheet name="TS-02 Login Google" sheetId="2" state="visible" r:id="rId2"/>
    <sheet name="TS-03 Cari Listing" sheetId="3" state="visible" r:id="rId3"/>
    <sheet name="TS-04 Kelola Listing" sheetId="4" state="visible" r:id="rId4"/>
    <sheet name="TS-05 Informasi Pasar" sheetId="5" state="visible" r:id="rId5"/>
    <sheet name="TS-06 Interaksi Forum" sheetId="6" state="visible" r:id="rId6"/>
    <sheet name="TS-07 Posting Forum" sheetId="7" state="visible" r:id="rId7"/>
    <sheet name="TS-08 Chat DM" sheetId="8" state="visible" r:id="rId8"/>
    <sheet name="TS-09 Checkout" sheetId="9" state="visible" r:id="rId9"/>
    <sheet name="TS-10 Draft Forum" sheetId="10" state="visible" r:id="rId10"/>
    <sheet name="TS-11 Persetujuan" sheetId="11" state="visible" r:id="rId11"/>
    <sheet name="TS-12 Agreement Fee" sheetId="12" state="visible" r:id="rId12"/>
    <sheet name="TS-13 Midtrans" sheetId="13" state="visible" r:id="rId13"/>
    <sheet name="TS-14 Penyerahan" sheetId="14" state="visible" r:id="rId14"/>
    <sheet name="TS-15 Konfirmasi" sheetId="15" state="visible" r:id="rId15"/>
    <sheet name="TS-16 Ajukan Komplain" sheetId="16" state="visible" r:id="rId16"/>
    <sheet name="TS-17 Tanggapan Komplain" sheetId="17" state="visible" r:id="rId17"/>
    <sheet name="TS-18 Keputusan Komplain" sheetId="18" state="visible" r:id="rId18"/>
    <sheet name="TS-19 Payout" sheetId="19" state="visible" r:id="rId19"/>
    <sheet name="TS-20 Refund" sheetId="20" state="visible" r:id="rId20"/>
    <sheet name="TS-21 Riwayat" sheetId="21" state="visible" r:id="rId21"/>
    <sheet name="TS-22 Notifikasi" sheetId="22" state="visible" r:id="rId22"/>
    <sheet name="TS-23 Reputasi" sheetId="23" state="visible" r:id="rId23"/>
    <sheet name="TS-24 Review Akun" sheetId="24" state="visible" r:id="rId24"/>
    <sheet name="TS-25 Katalog" sheetId="25" state="visible" r:id="rId25"/>
    <sheet name="TS-26 Tujuan Settlement" sheetId="26" state="visible" r:id="rId26"/>
    <sheet name="TS-27 Hitung Fee" sheetId="27" state="visible" r:id="rId27"/>
    <sheet name="TS-28 Keamanan" sheetId="28" state="visible" r:id="rId28"/>
    <sheet name="TS-29 Tampilan" sheetId="29" state="visible" r:id="rId29"/>
    <sheet name="TS-30 End to End" sheetId="30" state="visible" r:id="rId30"/>
    <sheet name="TS-31 Tenggat" sheetId="31" state="visible" r:id="rId31"/>
    <sheet name="TS-32 Profil" sheetId="32" state="visible" r:id="rId32"/>
    <sheet name="TS-33 Dashboard Admin" sheetId="33" state="visible" r:id="rId33"/>
    <sheet name="TS-34 Keep" sheetId="34" state="visible" r:id="rId34"/>
    <sheet name="TS-35 Pembatalan" sheetId="35" state="visible" r:id="rId35"/>
    <sheet name="Laporan Bug" sheetId="36" state="visible" r:id="rId36"/>
  </sheets>
  <definedNames/>
</workbook>
</file>

<file path=xl/styles.xml><?xml version="1.0" encoding="utf-8"?>
<styleSheet xmlns="http://schemas.openxmlformats.org/spreadsheetml/2006/main">
  <numFmts count="1">
    <numFmt numFmtId="164" formatCode="dd-mmm-yyyy"/>
  </numFmts>
  <fonts count="14">
    <font>
      <name val="Carlito"/>
      <sz val="11"/>
    </font>
    <font>
      <name val="Arial"/>
      <color rgb="FF162033"/>
      <sz val="10"/>
    </font>
    <font>
      <name val="Arial"/>
      <b val="1"/>
      <color rgb="FF05285F"/>
      <sz val="16"/>
    </font>
    <font>
      <name val="Arial"/>
      <color rgb="FF536175"/>
      <sz val="10"/>
    </font>
    <font>
      <name val="Arial"/>
      <b val="1"/>
      <color rgb="FFFFFFFF"/>
      <sz val="10"/>
    </font>
    <font>
      <name val="Arial"/>
      <b val="1"/>
      <color rgb="FF162033"/>
      <sz val="10"/>
    </font>
    <font>
      <name val="Arial"/>
      <color rgb="FF5C4B1C"/>
      <sz val="10"/>
    </font>
    <font>
      <name val="Arial"/>
      <b val="1"/>
      <color rgb="0005285F"/>
      <sz val="16"/>
    </font>
    <font>
      <name val="Arial"/>
      <color rgb="00475569"/>
      <sz val="10"/>
    </font>
    <font>
      <name val="Arial"/>
      <b val="1"/>
      <color rgb="00FFFFFF"/>
      <sz val="11"/>
    </font>
    <font>
      <name val="Arial"/>
      <b val="1"/>
      <color rgb="0005285F"/>
      <sz val="10"/>
    </font>
    <font>
      <name val="Arial"/>
      <b val="1"/>
      <color rgb="00162033"/>
      <sz val="10"/>
    </font>
    <font>
      <name val="Arial"/>
      <color rgb="00162033"/>
      <sz val="10"/>
    </font>
    <font>
      <name val="Arial"/>
      <b val="1"/>
      <color rgb="0015803D"/>
      <sz val="10"/>
    </font>
  </fonts>
  <fills count="9">
    <fill>
      <patternFill/>
    </fill>
    <fill>
      <patternFill patternType="gray125"/>
    </fill>
    <fill>
      <patternFill patternType="solid">
        <fgColor rgb="FF05285F"/>
      </patternFill>
    </fill>
    <fill>
      <patternFill patternType="solid">
        <fgColor rgb="FFFFF5DB"/>
      </patternFill>
    </fill>
    <fill>
      <patternFill patternType="solid">
        <fgColor rgb="FFE9EEF5"/>
      </patternFill>
    </fill>
    <fill>
      <patternFill patternType="solid">
        <fgColor rgb="FFFFFFFF"/>
      </patternFill>
    </fill>
    <fill>
      <patternFill patternType="solid">
        <fgColor rgb="0005285F"/>
        <bgColor rgb="0005285F"/>
      </patternFill>
    </fill>
    <fill>
      <patternFill patternType="solid">
        <fgColor rgb="00EEF2FF"/>
        <bgColor rgb="00EEF2FF"/>
      </patternFill>
    </fill>
    <fill>
      <patternFill patternType="solid">
        <fgColor rgb="00DCFCE7"/>
        <bgColor rgb="00DCFCE7"/>
      </patternFill>
    </fill>
  </fills>
  <borders count="3">
    <border>
      <left/>
      <right/>
      <top/>
      <bottom/>
      <diagonal/>
    </border>
    <border>
      <left style="thin">
        <color rgb="FFAAB4C2"/>
      </left>
      <right style="thin">
        <color rgb="FFAAB4C2"/>
      </right>
      <top style="thin">
        <color rgb="FFAAB4C2"/>
      </top>
      <bottom style="thin">
        <color rgb="FFAAB4C2"/>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6">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164" fontId="1" fillId="0" borderId="0" applyAlignment="1" pivotButton="0" quotePrefix="0" xfId="0">
      <alignment vertical="center" wrapText="1"/>
    </xf>
    <xf numFmtId="164" fontId="1" fillId="3" borderId="0" applyAlignment="1" pivotButton="0" quotePrefix="0" xfId="0">
      <alignment vertical="center" wrapText="1"/>
    </xf>
    <xf numFmtId="0" fontId="5" fillId="0" borderId="0" applyAlignment="1" pivotButton="0" quotePrefix="0" xfId="0">
      <alignment vertical="center" wrapText="1"/>
    </xf>
    <xf numFmtId="0" fontId="1" fillId="0" borderId="0" applyAlignment="1" pivotButton="0" quotePrefix="0" xfId="0">
      <alignment horizontal="center" vertical="center" wrapText="1"/>
    </xf>
    <xf numFmtId="0" fontId="5" fillId="4" borderId="0" applyAlignment="1" pivotButton="0" quotePrefix="0" xfId="0">
      <alignment vertical="center" wrapText="1"/>
    </xf>
    <xf numFmtId="0" fontId="1" fillId="4" borderId="0" applyAlignment="1" pivotButton="0" quotePrefix="0" xfId="0">
      <alignment horizontal="center" vertical="center" wrapText="1"/>
    </xf>
    <xf numFmtId="0" fontId="6" fillId="0" borderId="0" applyAlignment="1" pivotButton="0" quotePrefix="0" xfId="0">
      <alignment vertical="center" wrapText="1"/>
    </xf>
    <xf numFmtId="0" fontId="4" fillId="2" borderId="0" applyAlignment="1" pivotButton="0" quotePrefix="0" xfId="0">
      <alignment horizontal="center" vertical="center" wrapText="1"/>
    </xf>
    <xf numFmtId="0" fontId="4" fillId="2" borderId="1" applyAlignment="1" pivotButton="0" quotePrefix="0" xfId="0">
      <alignment horizontal="center" vertical="center" wrapText="1"/>
    </xf>
    <xf numFmtId="0" fontId="1" fillId="0" borderId="1" applyAlignment="1" pivotButton="0" quotePrefix="0" xfId="0">
      <alignment vertical="center" wrapText="1"/>
    </xf>
    <xf numFmtId="0" fontId="5" fillId="0" borderId="1" applyAlignment="1" pivotButton="0" quotePrefix="0" xfId="0">
      <alignment vertical="center" wrapText="1"/>
    </xf>
    <xf numFmtId="0" fontId="5" fillId="0" borderId="1" applyAlignment="1" pivotButton="0" quotePrefix="0" xfId="0">
      <alignment vertical="top" wrapText="1"/>
    </xf>
    <xf numFmtId="0" fontId="1" fillId="0" borderId="1" applyAlignment="1" pivotButton="0" quotePrefix="0" xfId="0">
      <alignment vertical="top" wrapText="1"/>
    </xf>
    <xf numFmtId="0" fontId="5" fillId="5" borderId="1" applyAlignment="1" pivotButton="0" quotePrefix="0" xfId="0">
      <alignment vertical="top" wrapText="1"/>
    </xf>
    <xf numFmtId="0" fontId="1" fillId="5" borderId="1" applyAlignment="1" pivotButton="0" quotePrefix="0" xfId="0">
      <alignment vertical="top" wrapText="1"/>
    </xf>
    <xf numFmtId="0" fontId="1" fillId="3" borderId="1" applyAlignment="1" pivotButton="0" quotePrefix="0" xfId="0">
      <alignment vertical="center" wrapText="1"/>
    </xf>
    <xf numFmtId="0" fontId="1" fillId="0" borderId="1" applyAlignment="1" pivotButton="0" quotePrefix="0" xfId="0">
      <alignment horizontal="center" vertical="center" wrapText="1"/>
    </xf>
    <xf numFmtId="164" fontId="1" fillId="0" borderId="0" applyAlignment="1" pivotButton="0" quotePrefix="0" xfId="0">
      <alignment vertical="center" wrapText="1"/>
    </xf>
    <xf numFmtId="164" fontId="1" fillId="3" borderId="0" applyAlignment="1" pivotButton="0" quotePrefix="0" xfId="0">
      <alignment vertical="center"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6" borderId="2" applyAlignment="1" pivotButton="0" quotePrefix="0" xfId="0">
      <alignment horizontal="left" vertical="center" wrapText="1"/>
    </xf>
    <xf numFmtId="0" fontId="0" fillId="0" borderId="2" pivotButton="0" quotePrefix="0" xfId="0"/>
    <xf numFmtId="0" fontId="10" fillId="7" borderId="2" applyAlignment="1" pivotButton="0" quotePrefix="0" xfId="0">
      <alignment horizontal="left" vertical="center" wrapText="1"/>
    </xf>
    <xf numFmtId="0" fontId="11" fillId="0" borderId="2" applyAlignment="1" pivotButton="0" quotePrefix="0" xfId="0">
      <alignment horizontal="left" vertical="top" wrapText="1"/>
    </xf>
    <xf numFmtId="0" fontId="12" fillId="0" borderId="2" applyAlignment="1" pivotButton="0" quotePrefix="0" xfId="0">
      <alignment horizontal="left" vertical="top" wrapText="1"/>
    </xf>
    <xf numFmtId="0" fontId="13" fillId="8" borderId="2" applyAlignment="1" pivotButton="0" quotePrefix="0" xfId="0">
      <alignment horizontal="left" vertical="top" wrapText="1"/>
    </xf>
  </cellXfs>
  <cellStyles count="1">
    <cellStyle name="Normal" xfId="0"/>
  </cellStyles>
  <dxfs count="140">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
      <font>
        <b val="1"/>
        <color rgb="FF17653B"/>
      </font>
      <fill>
        <patternFill patternType="solid">
          <bgColor rgb="FFDDF0E5"/>
        </patternFill>
      </fill>
    </dxf>
    <dxf>
      <font>
        <b val="1"/>
        <color rgb="FFA52630"/>
      </font>
      <fill>
        <patternFill patternType="solid">
          <bgColor rgb="FFFCE0E2"/>
        </patternFill>
      </fill>
    </dxf>
    <dxf>
      <font>
        <b val="1"/>
        <color rgb="FF805807"/>
      </font>
      <fill>
        <patternFill patternType="solid">
          <bgColor rgb="FFFFF0C7"/>
        </patternFill>
      </fill>
    </dxf>
    <dxf>
      <font>
        <b val="1"/>
        <color rgb="FF526174"/>
      </font>
      <fill>
        <patternFill patternType="solid">
          <bgColor rgb="FFEBEEF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tables/table1.xml><?xml version="1.0" encoding="utf-8"?>
<table xmlns="http://schemas.openxmlformats.org/spreadsheetml/2006/main" id="1" name="Cases_TS01" displayName="Cases_TS01" ref="A13:J18"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2.xml><?xml version="1.0" encoding="utf-8"?>
<table xmlns="http://schemas.openxmlformats.org/spreadsheetml/2006/main" id="2" name="Cases_TS02" displayName="Cases_TS02" ref="A13:J23"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3.xml><?xml version="1.0" encoding="utf-8"?>
<table xmlns="http://schemas.openxmlformats.org/spreadsheetml/2006/main" id="3" name="Cases_TS03" displayName="Cases_TS03" ref="A13:J19"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4.xml><?xml version="1.0" encoding="utf-8"?>
<table xmlns="http://schemas.openxmlformats.org/spreadsheetml/2006/main" id="4" name="Cases_TS04" displayName="Cases_TS04" ref="A13:J18"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5.xml><?xml version="1.0" encoding="utf-8"?>
<table xmlns="http://schemas.openxmlformats.org/spreadsheetml/2006/main" id="5" name="Cases_TS05" displayName="Cases_TS05" ref="A13:J19"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6.xml><?xml version="1.0" encoding="utf-8"?>
<table xmlns="http://schemas.openxmlformats.org/spreadsheetml/2006/main" id="6" name="Cases_TS06" displayName="Cases_TS06" ref="A13:J20"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7.xml><?xml version="1.0" encoding="utf-8"?>
<table xmlns="http://schemas.openxmlformats.org/spreadsheetml/2006/main" id="7" name="Cases_TS07" displayName="Cases_TS07" ref="A13:J21"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8.xml><?xml version="1.0" encoding="utf-8"?>
<table xmlns="http://schemas.openxmlformats.org/spreadsheetml/2006/main" id="8" name="Cases_TS08" displayName="Cases_TS08" ref="A13:J22"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9.xml><?xml version="1.0" encoding="utf-8"?>
<table xmlns="http://schemas.openxmlformats.org/spreadsheetml/2006/main" id="9" name="Cases_TS09" displayName="Cases_TS09" ref="A13:J19"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10.xml><?xml version="1.0" encoding="utf-8"?>
<table xmlns="http://schemas.openxmlformats.org/spreadsheetml/2006/main" id="10" name="Cases_TS10" displayName="Cases_TS10" ref="A13:J18"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11.xml><?xml version="1.0" encoding="utf-8"?>
<table xmlns="http://schemas.openxmlformats.org/spreadsheetml/2006/main" id="11" name="Cases_TS11" displayName="Cases_TS11" ref="A13:J18"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12.xml><?xml version="1.0" encoding="utf-8"?>
<table xmlns="http://schemas.openxmlformats.org/spreadsheetml/2006/main" id="12" name="Cases_TS12" displayName="Cases_TS12" ref="A13:J18"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13.xml><?xml version="1.0" encoding="utf-8"?>
<table xmlns="http://schemas.openxmlformats.org/spreadsheetml/2006/main" id="13" name="Cases_TS13" displayName="Cases_TS13" ref="A13:J23"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14.xml><?xml version="1.0" encoding="utf-8"?>
<table xmlns="http://schemas.openxmlformats.org/spreadsheetml/2006/main" id="14" name="Cases_TS14" displayName="Cases_TS14" ref="A13:J18"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15.xml><?xml version="1.0" encoding="utf-8"?>
<table xmlns="http://schemas.openxmlformats.org/spreadsheetml/2006/main" id="15" name="Cases_TS15" displayName="Cases_TS15" ref="A13:J17"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16.xml><?xml version="1.0" encoding="utf-8"?>
<table xmlns="http://schemas.openxmlformats.org/spreadsheetml/2006/main" id="16" name="Cases_TS16" displayName="Cases_TS16" ref="A13:J18"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17.xml><?xml version="1.0" encoding="utf-8"?>
<table xmlns="http://schemas.openxmlformats.org/spreadsheetml/2006/main" id="17" name="Cases_TS17" displayName="Cases_TS17" ref="A13:J17"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18.xml><?xml version="1.0" encoding="utf-8"?>
<table xmlns="http://schemas.openxmlformats.org/spreadsheetml/2006/main" id="18" name="Cases_TS18" displayName="Cases_TS18" ref="A13:J18"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19.xml><?xml version="1.0" encoding="utf-8"?>
<table xmlns="http://schemas.openxmlformats.org/spreadsheetml/2006/main" id="19" name="Cases_TS19" displayName="Cases_TS19" ref="A13:J18"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20.xml><?xml version="1.0" encoding="utf-8"?>
<table xmlns="http://schemas.openxmlformats.org/spreadsheetml/2006/main" id="20" name="Cases_TS20" displayName="Cases_TS20" ref="A13:J20"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21.xml><?xml version="1.0" encoding="utf-8"?>
<table xmlns="http://schemas.openxmlformats.org/spreadsheetml/2006/main" id="21" name="Cases_TS21" displayName="Cases_TS21" ref="A13:J18"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22.xml><?xml version="1.0" encoding="utf-8"?>
<table xmlns="http://schemas.openxmlformats.org/spreadsheetml/2006/main" id="22" name="Cases_TS22" displayName="Cases_TS22" ref="A13:J18"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23.xml><?xml version="1.0" encoding="utf-8"?>
<table xmlns="http://schemas.openxmlformats.org/spreadsheetml/2006/main" id="23" name="Cases_TS23" displayName="Cases_TS23" ref="A13:J18"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24.xml><?xml version="1.0" encoding="utf-8"?>
<table xmlns="http://schemas.openxmlformats.org/spreadsheetml/2006/main" id="24" name="Cases_TS24" displayName="Cases_TS24" ref="A13:J19"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25.xml><?xml version="1.0" encoding="utf-8"?>
<table xmlns="http://schemas.openxmlformats.org/spreadsheetml/2006/main" id="25" name="Cases_TS25" displayName="Cases_TS25" ref="A13:J19"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26.xml><?xml version="1.0" encoding="utf-8"?>
<table xmlns="http://schemas.openxmlformats.org/spreadsheetml/2006/main" id="26" name="Cases_TS26" displayName="Cases_TS26" ref="A13:J17"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27.xml><?xml version="1.0" encoding="utf-8"?>
<table xmlns="http://schemas.openxmlformats.org/spreadsheetml/2006/main" id="27" name="Cases_TS27" displayName="Cases_TS27" ref="A13:J22"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28.xml><?xml version="1.0" encoding="utf-8"?>
<table xmlns="http://schemas.openxmlformats.org/spreadsheetml/2006/main" id="28" name="Cases_TS28" displayName="Cases_TS28" ref="A13:J19"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29.xml><?xml version="1.0" encoding="utf-8"?>
<table xmlns="http://schemas.openxmlformats.org/spreadsheetml/2006/main" id="29" name="Cases_TS29" displayName="Cases_TS29" ref="A13:J16"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30.xml><?xml version="1.0" encoding="utf-8"?>
<table xmlns="http://schemas.openxmlformats.org/spreadsheetml/2006/main" id="30" name="Cases_TS30" displayName="Cases_TS30" ref="A13:J17"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31.xml><?xml version="1.0" encoding="utf-8"?>
<table xmlns="http://schemas.openxmlformats.org/spreadsheetml/2006/main" id="31" name="Cases_TS31" displayName="Cases_TS31" ref="A13:J24"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32.xml><?xml version="1.0" encoding="utf-8"?>
<table xmlns="http://schemas.openxmlformats.org/spreadsheetml/2006/main" id="32" name="Cases_TS32" displayName="Cases_TS32" ref="A13:J20"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33.xml><?xml version="1.0" encoding="utf-8"?>
<table xmlns="http://schemas.openxmlformats.org/spreadsheetml/2006/main" id="33" name="Cases_TS33" displayName="Cases_TS33" ref="A13:J17"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34.xml><?xml version="1.0" encoding="utf-8"?>
<table xmlns="http://schemas.openxmlformats.org/spreadsheetml/2006/main" id="34" name="Cases_TS34" displayName="Cases_TS34" ref="A13:J19"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ables/table35.xml><?xml version="1.0" encoding="utf-8"?>
<table xmlns="http://schemas.openxmlformats.org/spreadsheetml/2006/main" id="35" name="Cases_TS35" displayName="Cases_TS35" ref="A13:J18" headerRowCount="1" totalsRowCount="0" totalsRowShown="0">
  <tableColumns count="10">
    <tableColumn id="1" name="TEST CASE ID"/>
    <tableColumn id="2" name="TEST SCENARIO"/>
    <tableColumn id="3" name="TEST CASE"/>
    <tableColumn id="4" name="PRE-CONDITION"/>
    <tableColumn id="5" name="TEST STEPS"/>
    <tableColumn id="6" name="TEST DATA"/>
    <tableColumn id="7" name="EXPECTED RESULT"/>
    <tableColumn id="8" name="POST CONDITION"/>
    <tableColumn id="9" name="ACTUAL RESULT"/>
    <tableColumn id="10" name="STATU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_rels/sheet31.xml.rels><Relationships xmlns="http://schemas.openxmlformats.org/package/2006/relationships"><Relationship Type="http://schemas.openxmlformats.org/officeDocument/2006/relationships/table" Target="/xl/tables/table31.xml" Id="rId1" /></Relationships>
</file>

<file path=xl/worksheets/_rels/sheet32.xml.rels><Relationships xmlns="http://schemas.openxmlformats.org/package/2006/relationships"><Relationship Type="http://schemas.openxmlformats.org/officeDocument/2006/relationships/table" Target="/xl/tables/table32.xml" Id="rId1" /></Relationships>
</file>

<file path=xl/worksheets/_rels/sheet33.xml.rels><Relationships xmlns="http://schemas.openxmlformats.org/package/2006/relationships"><Relationship Type="http://schemas.openxmlformats.org/officeDocument/2006/relationships/table" Target="/xl/tables/table33.xml" Id="rId1" /></Relationships>
</file>

<file path=xl/worksheets/_rels/sheet34.xml.rels><Relationships xmlns="http://schemas.openxmlformats.org/package/2006/relationships"><Relationship Type="http://schemas.openxmlformats.org/officeDocument/2006/relationships/table" Target="/xl/tables/table34.xml" Id="rId1" /></Relationships>
</file>

<file path=xl/worksheets/_rels/sheet35.xml.rels><Relationships xmlns="http://schemas.openxmlformats.org/package/2006/relationships"><Relationship Type="http://schemas.openxmlformats.org/officeDocument/2006/relationships/table" Target="/xl/tables/table35.xml" Id="rId1" /></Relationships>
</file>

<file path=xl/worksheets/sheet1.xml><?xml version="1.0" encoding="utf-8"?>
<worksheet xmlns="http://schemas.openxmlformats.org/spreadsheetml/2006/main">
  <sheetPr>
    <tabColor rgb="FF05285F"/>
    <outlinePr summaryBelow="1" summaryRight="1"/>
    <pageSetUpPr/>
  </sheetPr>
  <dimension ref="A1:J18"/>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TS-01  Registrasi akun</t>
        </is>
      </c>
    </row>
    <row r="3" ht="20" customHeight="1">
      <c r="A3" s="5" t="inlineStr">
        <is>
          <t>TC-01-01 sampai TC-01-05  |  5 test case  |  Rancangan revisi 0.2</t>
        </is>
      </c>
    </row>
    <row r="4">
      <c r="A4" s="3" t="n"/>
      <c r="B4" s="3" t="n"/>
      <c r="C4" s="3" t="n"/>
      <c r="D4" s="3" t="n"/>
      <c r="E4" s="3" t="n"/>
      <c r="F4" s="3" t="n"/>
      <c r="G4" s="3" t="n"/>
      <c r="H4" s="3" t="n"/>
      <c r="I4" s="3" t="n"/>
      <c r="J4" s="3" t="n"/>
    </row>
    <row r="5" ht="23" customHeight="1">
      <c r="A5" s="7" t="inlineStr">
        <is>
          <t>Module Name</t>
        </is>
      </c>
      <c r="C5" s="3" t="inlineStr">
        <is>
          <t>Registrasi akun</t>
        </is>
      </c>
      <c r="G5" s="7" t="inlineStr">
        <is>
          <t>Scenario ID</t>
        </is>
      </c>
      <c r="I5" s="3" t="inlineStr">
        <is>
          <t>TS-01</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COUNTA(A14:A18)</f>
        <v/>
      </c>
      <c r="C11" s="13" t="inlineStr">
        <is>
          <t>Pass</t>
        </is>
      </c>
      <c r="D11" s="14">
        <f>COUNTIFS(J14:J18,"Pass")</f>
        <v/>
      </c>
      <c r="E11" s="13" t="inlineStr">
        <is>
          <t>Fail</t>
        </is>
      </c>
      <c r="F11" s="14">
        <f>COUNTIFS(J14:J18,"Fail")</f>
        <v/>
      </c>
      <c r="G11" s="13" t="inlineStr">
        <is>
          <t>Blocked</t>
        </is>
      </c>
      <c r="H11" s="14">
        <f>COUNTIFS(J14:J18,"Blocked")</f>
        <v/>
      </c>
      <c r="I11" s="13" t="inlineStr">
        <is>
          <t>Not Run</t>
        </is>
      </c>
      <c r="J11" s="14">
        <f>COUNTIFS(J14:J18,"Not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7" customHeight="1">
      <c r="A14" s="22" t="inlineStr">
        <is>
          <t>TC-01-01</t>
        </is>
      </c>
      <c r="B14" s="23" t="inlineStr">
        <is>
          <t>TS-01
Registrasi akun</t>
        </is>
      </c>
      <c r="C14" s="23" t="inlineStr">
        <is>
          <t>Registrasi valid
Prioritas: P2
Desain: TBD</t>
        </is>
      </c>
      <c r="D14" s="23" t="inlineStr">
        <is>
          <t>Pengguna belum login; formulir registrasi tersedia; email dan username uji disiapkan.</t>
        </is>
      </c>
      <c r="E14" s="23" t="inlineStr">
        <is>
          <t>1. Isi username/email unik.
2. Isi password dan konfirmasi sesuai kebijakan.
3. Kirim formulir.</t>
        </is>
      </c>
      <c r="F14" s="23" t="inlineStr">
        <is>
          <t>Identitas QA baru dan unik; email/username terdaftar untuk duplikasi; password serta konfirmasi sesuai dataset.
TBD: lengkapi aturan/data yang belum disahkan sebelum menjalankan kasus ini.</t>
        </is>
      </c>
      <c r="G14" s="23" t="inlineStr">
        <is>
          <t>Satu akun USER ACTIVE dibuat; password berupa hash; hasil registrasi ditampilkan.</t>
        </is>
      </c>
      <c r="H14" s="23" t="inlineStr">
        <is>
          <t>Akun hanya terbentuk untuk registrasi sah. Percobaan ditolak tidak membuat akun atau identitas duplikat.</t>
        </is>
      </c>
      <c r="I14" s="24" t="inlineStr">
        <is>
          <t>Akun USER ACTIVE berhasil dibuat dengan hash password aman, dialihkan ke / dan terautentikasi otomatis.</t>
        </is>
      </c>
      <c r="J14" s="25" t="inlineStr">
        <is>
          <t>Pass</t>
        </is>
      </c>
    </row>
    <row r="15" ht="100" customHeight="1">
      <c r="A15" s="22" t="inlineStr">
        <is>
          <t>TC-01-02</t>
        </is>
      </c>
      <c r="B15" s="23" t="inlineStr">
        <is>
          <t>TS-01
Registrasi akun</t>
        </is>
      </c>
      <c r="C15" s="23" t="inlineStr">
        <is>
          <t>Identitas duplikat
Prioritas: P2
Desain: Review</t>
        </is>
      </c>
      <c r="D15" s="23" t="inlineStr">
        <is>
          <t>Pengguna belum login; formulir registrasi tersedia; email dan username uji disiapkan.</t>
        </is>
      </c>
      <c r="E15" s="23" t="inlineStr">
        <is>
          <t>1. Gunakan email terdaftar.
2. Ulangi dengan username terdaftar.</t>
        </is>
      </c>
      <c r="F15" s="23" t="inlineStr">
        <is>
          <t>Identitas QA baru dan unik; email/username terdaftar untuk duplikasi; password serta konfirmasi sesuai dataset.</t>
        </is>
      </c>
      <c r="G15" s="23" t="inlineStr">
        <is>
          <t>Ditolak dengan pesan jelas; tidak ada akun duplikat.</t>
        </is>
      </c>
      <c r="H15" s="23" t="inlineStr">
        <is>
          <t>Akun hanya terbentuk untuk registrasi sah. Percobaan ditolak tidak membuat akun atau identitas duplikat.</t>
        </is>
      </c>
      <c r="I15" s="24" t="inlineStr">
        <is>
          <t>Pendaftaran dengan email dan username duplikat ditolak dengan pesan validasi 'telah digunakan'.</t>
        </is>
      </c>
      <c r="J15" s="25" t="inlineStr">
        <is>
          <t>Pass</t>
        </is>
      </c>
    </row>
    <row r="16" ht="107" customHeight="1">
      <c r="A16" s="22" t="inlineStr">
        <is>
          <t>TC-01-03</t>
        </is>
      </c>
      <c r="B16" s="23" t="inlineStr">
        <is>
          <t>TS-01
Registrasi akun</t>
        </is>
      </c>
      <c r="C16" s="23" t="inlineStr">
        <is>
          <t>Kelengkapan dan format
Prioritas: P2
Desain: TBD</t>
        </is>
      </c>
      <c r="D16" s="23" t="inlineStr">
        <is>
          <t>Pengguna belum login; formulir registrasi tersedia; email dan username uji disiapkan.</t>
        </is>
      </c>
      <c r="E16" s="23" t="inlineStr">
        <is>
          <t>1. Kosongkan setiap kolom wajib bergantian.
2. Uji email tidak valid.
3. Uji konfirmasi password berbeda.</t>
        </is>
      </c>
      <c r="F16" s="23" t="inlineStr">
        <is>
          <t>Identitas QA baru dan unik; email/username terdaftar untuk duplikasi; password serta konfirmasi sesuai dataset.
TBD: lengkapi aturan/data yang belum disahkan sebelum menjalankan kasus ini.</t>
        </is>
      </c>
      <c r="G16" s="23" t="inlineStr">
        <is>
          <t>Input ditolak pada kolom terkait; akun tidak dibuat.</t>
        </is>
      </c>
      <c r="H16" s="23" t="inlineStr">
        <is>
          <t>Akun hanya terbentuk untuk registrasi sah. Percobaan ditolak tidak membuat akun atau identitas duplikat.</t>
        </is>
      </c>
      <c r="I16" s="24" t="inlineStr">
        <is>
          <t>Form registrasi memvalidasi konfirmasi password tidak cocok dan panjang minimal &lt; 8 karakter.</t>
        </is>
      </c>
      <c r="J16" s="25" t="inlineStr">
        <is>
          <t>Pass</t>
        </is>
      </c>
    </row>
    <row r="17" ht="107" customHeight="1">
      <c r="A17" s="22" t="inlineStr">
        <is>
          <t>TC-01-04</t>
        </is>
      </c>
      <c r="B17" s="23" t="inlineStr">
        <is>
          <t>TS-01
Registrasi akun</t>
        </is>
      </c>
      <c r="C17" s="23" t="inlineStr">
        <is>
          <t>Batas username
Prioritas: P2
Desain: TBD</t>
        </is>
      </c>
      <c r="D17" s="23" t="inlineStr">
        <is>
          <t>Pengguna belum login; formulir registrasi tersedia; email dan username uji disiapkan.</t>
        </is>
      </c>
      <c r="E17" s="23" t="inlineStr">
        <is>
          <t>1. Daftarkan username sepanjang 2, 3, 30, dan 31 karakter dengan identitas lain valid.</t>
        </is>
      </c>
      <c r="F17" s="23" t="inlineStr">
        <is>
          <t>Identitas QA baru dan unik; email/username terdaftar untuk duplikasi; password serta konfirmasi sesuai dataset.
TBD: lengkapi aturan/data yang belum disahkan sebelum menjalankan kasus ini.</t>
        </is>
      </c>
      <c r="G17" s="23" t="inlineStr">
        <is>
          <t>3 dan 30 diterima; 2 dan 31 ditolak.</t>
        </is>
      </c>
      <c r="H17" s="23" t="inlineStr">
        <is>
          <t>Akun hanya terbentuk untuk registrasi sah. Percobaan ditolak tidak membuat akun atau identitas duplikat.</t>
        </is>
      </c>
      <c r="I17" s="24" t="inlineStr">
        <is>
          <t>Username dengan panjang 2 karakter dan &gt; 30 karakter ditolak; panjang tepat 3 karakter diterima.</t>
        </is>
      </c>
      <c r="J17" s="25" t="inlineStr">
        <is>
          <t>Pass</t>
        </is>
      </c>
    </row>
    <row r="18" ht="107" customHeight="1">
      <c r="A18" s="22" t="inlineStr">
        <is>
          <t>TC-01-05</t>
        </is>
      </c>
      <c r="B18" s="23" t="inlineStr">
        <is>
          <t>TS-01
Registrasi akun</t>
        </is>
      </c>
      <c r="C18" s="23" t="inlineStr">
        <is>
          <t>Pola dan normalisasi
Prioritas: P2
Desain: TBD</t>
        </is>
      </c>
      <c r="D18" s="23" t="inlineStr">
        <is>
          <t>Pengguna belum login; formulir registrasi tersedia; email dan username uji disiapkan.</t>
        </is>
      </c>
      <c r="E18" s="23" t="inlineStr">
        <is>
          <t>1. Uji huruf besar.
2. Uji spasi/simbol selain underscore.
3. Uji variasi kapital username terdaftar.</t>
        </is>
      </c>
      <c r="F18" s="23" t="inlineStr">
        <is>
          <t>Identitas QA baru dan unik; email/username terdaftar untuk duplikasi; password serta konfirmasi sesuai dataset.
TBD: lengkapi aturan/data yang belum disahkan sebelum menjalankan kasus ini.</t>
        </is>
      </c>
      <c r="G18" s="23" t="inlineStr">
        <is>
          <t>Huruf dinormalisasi ke huruf kecil; pola tidak sah ditolak; tidak ada duplikasi setelah normalisasi.</t>
        </is>
      </c>
      <c r="H18" s="23" t="inlineStr">
        <is>
          <t>Akun hanya terbentuk untuk registrasi sah. Percobaan ditolak tidak membuat akun atau identitas duplikat.</t>
        </is>
      </c>
      <c r="I18" s="24" t="inlineStr">
        <is>
          <t>Format username divalidasi regex [a-z0-9_]; huruf kapital otomatis dinormalisasi menjadi huruf kecil.</t>
        </is>
      </c>
      <c r="J18" s="25" t="inlineStr">
        <is>
          <t>Pass</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8">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8"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05285F"/>
    <outlinePr summaryBelow="1" summaryRight="1"/>
    <pageSetUpPr/>
  </sheetPr>
  <dimension ref="A1:J23"/>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TS-02  Login logout dan Google</t>
        </is>
      </c>
    </row>
    <row r="3" ht="20" customHeight="1">
      <c r="A3" s="5" t="inlineStr">
        <is>
          <t>TC-02-01 sampai TC-02-10  |  10 test case  |  Rancangan revisi 0.2</t>
        </is>
      </c>
    </row>
    <row r="4">
      <c r="A4" s="3" t="n"/>
      <c r="B4" s="3" t="n"/>
      <c r="C4" s="3" t="n"/>
      <c r="D4" s="3" t="n"/>
      <c r="E4" s="3" t="n"/>
      <c r="F4" s="3" t="n"/>
      <c r="G4" s="3" t="n"/>
      <c r="H4" s="3" t="n"/>
      <c r="I4" s="3" t="n"/>
      <c r="J4" s="3" t="n"/>
    </row>
    <row r="5" ht="23" customHeight="1">
      <c r="A5" s="7" t="inlineStr">
        <is>
          <t>Module Name</t>
        </is>
      </c>
      <c r="C5" s="3" t="inlineStr">
        <is>
          <t>Login logout dan Google</t>
        </is>
      </c>
      <c r="G5" s="7" t="inlineStr">
        <is>
          <t>Scenario ID</t>
        </is>
      </c>
      <c r="I5" s="3" t="inlineStr">
        <is>
          <t>TS-02</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COUNTA(A14:A23)</f>
        <v/>
      </c>
      <c r="C11" s="13" t="inlineStr">
        <is>
          <t>Pass</t>
        </is>
      </c>
      <c r="D11" s="14">
        <f>COUNTIFS(J14:J23,"Pass")</f>
        <v/>
      </c>
      <c r="E11" s="13" t="inlineStr">
        <is>
          <t>Fail</t>
        </is>
      </c>
      <c r="F11" s="14">
        <f>COUNTIFS(J14:J23,"Fail")</f>
        <v/>
      </c>
      <c r="G11" s="13" t="inlineStr">
        <is>
          <t>Blocked</t>
        </is>
      </c>
      <c r="H11" s="14">
        <f>COUNTIFS(J14:J23,"Blocked")</f>
        <v/>
      </c>
      <c r="I11" s="13" t="inlineStr">
        <is>
          <t>Not Run</t>
        </is>
      </c>
      <c r="J11" s="14">
        <f>COUNTIFS(J14:J23,"Not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TC-02-01</t>
        </is>
      </c>
      <c r="B14" s="23" t="inlineStr">
        <is>
          <t>TS-02
Login logout dan Google</t>
        </is>
      </c>
      <c r="C14" s="23" t="inlineStr">
        <is>
          <t>Login lokal valid
Prioritas: P1
Desain: Review</t>
        </is>
      </c>
      <c r="D14" s="23" t="inlineStr">
        <is>
          <t>Akun lokal aktif, Google, suspended, dan akun lokal belum terhubung tersedia.</t>
        </is>
      </c>
      <c r="E14" s="23" t="inlineStr">
        <is>
          <t>1. Login sebagai USER dan ADMIN dengan kredensial benar.</t>
        </is>
      </c>
      <c r="F14" s="23" t="inlineStr">
        <is>
          <t>Akun QA aktif USER dan ADMIN, akun nonaktif, akun Google uji. Kredensial berasal dari fixture QA; nilai salah/kolom kosong mengikuti dataset.</t>
        </is>
      </c>
      <c r="G14" s="23" t="inlineStr">
        <is>
          <t>Sesi dibuat; hak akses mengikuti account type.</t>
        </is>
      </c>
      <c r="H14" s="23" t="inlineStr">
        <is>
          <t>Sesi sesuai hasil yang diharapkan. Login gagal tidak membuat sesi; logout mengakhiri sesi. Reset sesi setelah verifikasi.</t>
        </is>
      </c>
      <c r="I14" s="24" t="inlineStr">
        <is>
          <t>Login dengan kredensial email dan username berhasil membuat sesi dan dialihkan ke home/dashboard.</t>
        </is>
      </c>
      <c r="J14" s="25" t="inlineStr">
        <is>
          <t>Pass</t>
        </is>
      </c>
    </row>
    <row r="15" ht="100" customHeight="1">
      <c r="A15" s="22" t="inlineStr">
        <is>
          <t>TC-02-02</t>
        </is>
      </c>
      <c r="B15" s="23" t="inlineStr">
        <is>
          <t>TS-02
Login logout dan Google</t>
        </is>
      </c>
      <c r="C15" s="23" t="inlineStr">
        <is>
          <t>Login tidak valid
Prioritas: P1
Desain: Review</t>
        </is>
      </c>
      <c r="D15" s="23" t="inlineStr">
        <is>
          <t>Akun lokal aktif, Google, suspended, dan akun lokal belum terhubung tersedia.</t>
        </is>
      </c>
      <c r="E15" s="23" t="inlineStr">
        <is>
          <t>1. Uji password salah, email tidak terdaftar, dan kolom kosong.</t>
        </is>
      </c>
      <c r="F15" s="23" t="inlineStr">
        <is>
          <t>Akun QA aktif USER dan ADMIN, akun nonaktif, akun Google uji. Kredensial berasal dari fixture QA; nilai salah/kolom kosong mengikuti dataset.</t>
        </is>
      </c>
      <c r="G15" s="23" t="inlineStr">
        <is>
          <t>Login ditolak; sesi autentikasi tidak dibuat.</t>
        </is>
      </c>
      <c r="H15" s="23" t="inlineStr">
        <is>
          <t>Sesi sesuai hasil yang diharapkan. Login gagal tidak membuat sesi; logout mengakhiri sesi. Reset sesi setelah verifikasi.</t>
        </is>
      </c>
      <c r="I15" s="24" t="inlineStr">
        <is>
          <t>Login ditolak dengan kredensial salah, email belum terdaftar, maupun username belum terdaftar.</t>
        </is>
      </c>
      <c r="J15" s="25" t="inlineStr">
        <is>
          <t>Pass</t>
        </is>
      </c>
    </row>
    <row r="16" ht="100" customHeight="1">
      <c r="A16" s="22" t="inlineStr">
        <is>
          <t>TC-02-03</t>
        </is>
      </c>
      <c r="B16" s="23" t="inlineStr">
        <is>
          <t>TS-02
Login logout dan Google</t>
        </is>
      </c>
      <c r="C16" s="23" t="inlineStr">
        <is>
          <t>Akun suspended
Prioritas: P1
Desain: Review</t>
        </is>
      </c>
      <c r="D16" s="23" t="inlineStr">
        <is>
          <t>Akun lokal aktif, Google, suspended, dan akun lokal belum terhubung tersedia.</t>
        </is>
      </c>
      <c r="E16" s="23" t="inlineStr">
        <is>
          <t>1. Coba login lokal dan Google pada akun suspended.</t>
        </is>
      </c>
      <c r="F16" s="23" t="inlineStr">
        <is>
          <t>Akun QA aktif USER dan ADMIN, akun nonaktif, akun Google uji. Kredensial berasal dari fixture QA; nilai salah/kolom kosong mengikuti dataset.</t>
        </is>
      </c>
      <c r="G16" s="23" t="inlineStr">
        <is>
          <t>Kedua metode menolak akses akun suspended.</t>
        </is>
      </c>
      <c r="H16" s="23" t="inlineStr">
        <is>
          <t>Sesi sesuai hasil yang diharapkan. Login gagal tidak membuat sesi; logout mengakhiri sesi. Reset sesi setelah verifikasi.</t>
        </is>
      </c>
      <c r="I16" s="24" t="n"/>
      <c r="J16" s="25" t="inlineStr">
        <is>
          <t>Not Run</t>
        </is>
      </c>
    </row>
    <row r="17" ht="120" customHeight="1">
      <c r="A17" s="22" t="inlineStr">
        <is>
          <t>TC-02-04</t>
        </is>
      </c>
      <c r="B17" s="23" t="inlineStr">
        <is>
          <t>TS-02
Login logout dan Google</t>
        </is>
      </c>
      <c r="C17" s="23" t="inlineStr">
        <is>
          <t>Google pertama kali
Prioritas: P1
Desain: TBD</t>
        </is>
      </c>
      <c r="D17" s="23" t="inlineStr">
        <is>
          <t>Akun lokal aktif, Google, suspended, dan akun lokal belum terhubung tersedia.</t>
        </is>
      </c>
      <c r="E17" s="23" t="inlineStr">
        <is>
          <t>1. Autentikasi Google valid.
2. Pilih username unik.
3. Selesaikan pendaftaran.</t>
        </is>
      </c>
      <c r="F17" s="23" t="inlineStr">
        <is>
          <t>Akun QA aktif USER dan ADMIN, akun nonaktif, akun Google uji. Kredensial berasal dari fixture QA; nilai salah/kolom kosong mengikuti dataset.
TBD: lengkapi aturan/data yang belum disahkan sebelum menjalankan kasus ini.</t>
        </is>
      </c>
      <c r="G17" s="23" t="inlineStr">
        <is>
          <t>Email/avatar tersedia digunakan; google_id tersimpan; password lokal tidak diwajibkan.</t>
        </is>
      </c>
      <c r="H17" s="23" t="inlineStr">
        <is>
          <t>Sesi sesuai hasil yang diharapkan. Login gagal tidak membuat sesi; logout mengakhiri sesi. Reset sesi setelah verifikasi.</t>
        </is>
      </c>
      <c r="I17" s="24" t="inlineStr">
        <is>
          <t>Tombol login Google mengarahkan pengguna ke alur otentikasi Google OAuth.</t>
        </is>
      </c>
      <c r="J17" s="25" t="inlineStr">
        <is>
          <t>Pass</t>
        </is>
      </c>
    </row>
    <row r="18" ht="120" customHeight="1">
      <c r="A18" s="22" t="inlineStr">
        <is>
          <t>TC-02-05</t>
        </is>
      </c>
      <c r="B18" s="23" t="inlineStr">
        <is>
          <t>TS-02
Login logout dan Google</t>
        </is>
      </c>
      <c r="C18" s="23" t="inlineStr">
        <is>
          <t>Username dan avatar Google
Prioritas: P1
Desain: TBD</t>
        </is>
      </c>
      <c r="D18" s="23" t="inlineStr">
        <is>
          <t>Akun lokal aktif, Google, suspended, dan akun lokal belum terhubung tersedia.</t>
        </is>
      </c>
      <c r="E18" s="23" t="inlineStr">
        <is>
          <t>1. Uji username duplikat/tidak valid.
2. Uji respons profil tanpa avatar.</t>
        </is>
      </c>
      <c r="F18" s="23" t="inlineStr">
        <is>
          <t>Akun QA aktif USER dan ADMIN, akun nonaktif, akun Google uji. Kredensial berasal dari fixture QA; nilai salah/kolom kosong mengikuti dataset.
TBD: lengkapi aturan/data yang belum disahkan sebelum menjalankan kasus ini.</t>
        </is>
      </c>
      <c r="G18" s="23" t="inlineStr">
        <is>
          <t>Pendaftaran menunggu username valid; avatar kosong tidak menyebabkan kegagalan.</t>
        </is>
      </c>
      <c r="H18" s="23" t="inlineStr">
        <is>
          <t>Sesi sesuai hasil yang diharapkan. Login gagal tidak membuat sesi; logout mengakhiri sesi. Reset sesi setelah verifikasi.</t>
        </is>
      </c>
      <c r="I18" s="24" t="n"/>
      <c r="J18" s="25" t="inlineStr">
        <is>
          <t>Not Run</t>
        </is>
      </c>
    </row>
    <row r="19" ht="100" customHeight="1">
      <c r="A19" s="22" t="inlineStr">
        <is>
          <t>TC-02-06</t>
        </is>
      </c>
      <c r="B19" s="23" t="inlineStr">
        <is>
          <t>TS-02
Login logout dan Google</t>
        </is>
      </c>
      <c r="C19" s="23" t="inlineStr">
        <is>
          <t>Google berikutnya
Prioritas: P1
Desain: Review</t>
        </is>
      </c>
      <c r="D19" s="23" t="inlineStr">
        <is>
          <t>Akun lokal aktif, Google, suspended, dan akun lokal belum terhubung tersedia.</t>
        </is>
      </c>
      <c r="E19" s="23" t="inlineStr">
        <is>
          <t>1. Ubah profil pengguna lalu login ulang dengan google_id sama.</t>
        </is>
      </c>
      <c r="F19" s="23" t="inlineStr">
        <is>
          <t>Akun QA aktif USER dan ADMIN, akun nonaktif, akun Google uji. Kredensial berasal dari fixture QA; nilai salah/kolom kosong mengikuti dataset.</t>
        </is>
      </c>
      <c r="G19" s="23" t="inlineStr">
        <is>
          <t>Akun sama digunakan; tidak ada akun baru; profil tidak otomatis ditimpa.</t>
        </is>
      </c>
      <c r="H19" s="23" t="inlineStr">
        <is>
          <t>Sesi sesuai hasil yang diharapkan. Login gagal tidak membuat sesi; logout mengakhiri sesi. Reset sesi setelah verifikasi.</t>
        </is>
      </c>
      <c r="I19" s="24" t="n"/>
      <c r="J19" s="25" t="inlineStr">
        <is>
          <t>Not Run</t>
        </is>
      </c>
    </row>
    <row r="20" ht="100" customHeight="1">
      <c r="A20" s="22" t="inlineStr">
        <is>
          <t>TC-02-07</t>
        </is>
      </c>
      <c r="B20" s="23" t="inlineStr">
        <is>
          <t>TS-02
Login logout dan Google</t>
        </is>
      </c>
      <c r="C20" s="23" t="inlineStr">
        <is>
          <t>Autentikasi Google gagal
Prioritas: P1
Desain: Review</t>
        </is>
      </c>
      <c r="D20" s="23" t="inlineStr">
        <is>
          <t>Akun lokal aktif, Google, suspended, dan akun lokal belum terhubung tersedia.</t>
        </is>
      </c>
      <c r="E20" s="23" t="inlineStr">
        <is>
          <t>1. Batalkan consent
2. uji callback gagal dan state tidak valid di lingkungan uji.</t>
        </is>
      </c>
      <c r="F20" s="23" t="inlineStr">
        <is>
          <t>Akun QA aktif USER dan ADMIN, akun nonaktif, akun Google uji. Kredensial berasal dari fixture QA; nilai salah/kolom kosong mengikuti dataset.</t>
        </is>
      </c>
      <c r="G20" s="23" t="inlineStr">
        <is>
          <t>Tidak ada sesi atau akun baru dari autentikasi gagal/tidak valid.</t>
        </is>
      </c>
      <c r="H20" s="23" t="inlineStr">
        <is>
          <t>Sesi sesuai hasil yang diharapkan. Login gagal tidak membuat sesi; logout mengakhiri sesi. Reset sesi setelah verifikasi.</t>
        </is>
      </c>
      <c r="I20" s="24" t="inlineStr">
        <is>
          <t>Callback OAuth yang tidak valid atau dibatalkan ditangani dengan baik dan menampilkan pesan peringatan.</t>
        </is>
      </c>
      <c r="J20" s="25" t="inlineStr">
        <is>
          <t>Pass</t>
        </is>
      </c>
    </row>
    <row r="21" ht="120" customHeight="1">
      <c r="A21" s="22" t="inlineStr">
        <is>
          <t>TC-02-08</t>
        </is>
      </c>
      <c r="B21" s="23" t="inlineStr">
        <is>
          <t>TS-02
Login logout dan Google</t>
        </is>
      </c>
      <c r="C21" s="23" t="inlineStr">
        <is>
          <t>Hubungkan akun Google
Prioritas: P1
Desain: TBD</t>
        </is>
      </c>
      <c r="D21" s="23" t="inlineStr">
        <is>
          <t>Akun lokal aktif, Google, suspended, dan akun lokal belum terhubung tersedia.</t>
        </is>
      </c>
      <c r="E21" s="23" t="inlineStr">
        <is>
          <t>1. Gunakan Google dengan email akun lokal.
2. Coba tanpa pembuktian kepemilikan.
3. Ulangi setelah verifikasi sah.</t>
        </is>
      </c>
      <c r="F21" s="23" t="inlineStr">
        <is>
          <t>Akun QA aktif USER dan ADMIN, akun nonaktif, akun Google uji. Kredensial berasal dari fixture QA; nilai salah/kolom kosong mengikuti dataset.
TBD: lengkapi aturan/data yang belum disahkan sebelum menjalankan kasus ini.</t>
        </is>
      </c>
      <c r="G21" s="23" t="inlineStr">
        <is>
          <t>Email sama tidak cukup untuk menggabungkan akun; penghubungan berhasil setelah kepemilikan terbukti.</t>
        </is>
      </c>
      <c r="H21" s="23" t="inlineStr">
        <is>
          <t>Sesi sesuai hasil yang diharapkan. Login gagal tidak membuat sesi; logout mengakhiri sesi. Reset sesi setelah verifikasi.</t>
        </is>
      </c>
      <c r="I21" s="24" t="n"/>
      <c r="J21" s="25" t="inlineStr">
        <is>
          <t>Not Run</t>
        </is>
      </c>
    </row>
    <row r="22" ht="100" customHeight="1">
      <c r="A22" s="22" t="inlineStr">
        <is>
          <t>TC-02-09</t>
        </is>
      </c>
      <c r="B22" s="23" t="inlineStr">
        <is>
          <t>TS-02
Login logout dan Google</t>
        </is>
      </c>
      <c r="C22" s="23" t="inlineStr">
        <is>
          <t>Logout
Prioritas: P1
Desain: Review</t>
        </is>
      </c>
      <c r="D22" s="23" t="inlineStr">
        <is>
          <t>Akun lokal aktif, Google, suspended, dan akun lokal belum terhubung tersedia.</t>
        </is>
      </c>
      <c r="E22" s="23" t="inlineStr">
        <is>
          <t>1. Login.
2. Logout.
3. Buka URL privat dan kirim tindakan privat.</t>
        </is>
      </c>
      <c r="F22" s="23" t="inlineStr">
        <is>
          <t>Akun QA aktif USER dan ADMIN, akun nonaktif, akun Google uji. Kredensial berasal dari fixture QA; nilai salah/kolom kosong mengikuti dataset.</t>
        </is>
      </c>
      <c r="G22" s="23" t="inlineStr">
        <is>
          <t>Sesi berakhir; sesi lama tidak dapat mengakses data/tindakan privat.</t>
        </is>
      </c>
      <c r="H22" s="23" t="inlineStr">
        <is>
          <t>Sesi sesuai hasil yang diharapkan. Login gagal tidak membuat sesi; logout mengakhiri sesi. Reset sesi setelah verifikasi.</t>
        </is>
      </c>
      <c r="I22" s="24" t="inlineStr">
        <is>
          <t>Pengguna dapat logout, sesi dihapus, dan rute terlindungi dialihkan kembali ke halaman login.</t>
        </is>
      </c>
      <c r="J22" s="25" t="inlineStr">
        <is>
          <t>Pass</t>
        </is>
      </c>
    </row>
    <row r="23" ht="100" customHeight="1">
      <c r="A23" s="22" t="inlineStr">
        <is>
          <t>TC-02-10</t>
        </is>
      </c>
      <c r="B23" s="23" t="inlineStr">
        <is>
          <t>TS-02
Login logout dan Google</t>
        </is>
      </c>
      <c r="C23" s="23" t="inlineStr">
        <is>
          <t>Sesi kedaluwarsa
Prioritas: P1
Desain: Review</t>
        </is>
      </c>
      <c r="D23" s="23" t="inlineStr">
        <is>
          <t>Akun lokal aktif, Google, suspended, dan akun lokal belum terhubung tersedia.</t>
        </is>
      </c>
      <c r="E23" s="23" t="inlineStr">
        <is>
          <t>1. Buka halaman dan kirim perubahan setelah sesi berakhir.</t>
        </is>
      </c>
      <c r="F23" s="23" t="inlineStr">
        <is>
          <t>Akun QA aktif USER dan ADMIN, akun nonaktif, akun Google uji. Kredensial berasal dari fixture QA; nilai salah/kolom kosong mengikuti dataset.</t>
        </is>
      </c>
      <c r="G23" s="23" t="inlineStr">
        <is>
          <t>Diminta login kembali; perubahan tidak dijalankan sebagai pengguna lama.</t>
        </is>
      </c>
      <c r="H23" s="23" t="inlineStr">
        <is>
          <t>Sesi sesuai hasil yang diharapkan. Login gagal tidak membuat sesi; logout mengakhiri sesi. Reset sesi setelah verifikasi.</t>
        </is>
      </c>
      <c r="I23" s="24" t="n"/>
      <c r="J23"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23">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23"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05285F"/>
    <outlinePr summaryBelow="1" summaryRight="1"/>
    <pageSetUpPr/>
  </sheetPr>
  <dimension ref="A1:J19"/>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TS-03  Cari dan lihat listing</t>
        </is>
      </c>
    </row>
    <row r="3" ht="20" customHeight="1">
      <c r="A3" s="5" t="inlineStr">
        <is>
          <t>TC-03-01 sampai TC-03-06  |  6 test case  |  Rancangan revisi 0.2</t>
        </is>
      </c>
    </row>
    <row r="4">
      <c r="A4" s="3" t="n"/>
      <c r="B4" s="3" t="n"/>
      <c r="C4" s="3" t="n"/>
      <c r="D4" s="3" t="n"/>
      <c r="E4" s="3" t="n"/>
      <c r="F4" s="3" t="n"/>
      <c r="G4" s="3" t="n"/>
      <c r="H4" s="3" t="n"/>
      <c r="I4" s="3" t="n"/>
      <c r="J4" s="3" t="n"/>
    </row>
    <row r="5" ht="23" customHeight="1">
      <c r="A5" s="7" t="inlineStr">
        <is>
          <t>Module Name</t>
        </is>
      </c>
      <c r="C5" s="3" t="inlineStr">
        <is>
          <t>Cari dan lihat listing</t>
        </is>
      </c>
      <c r="G5" s="7" t="inlineStr">
        <is>
          <t>Scenario ID</t>
        </is>
      </c>
      <c r="I5" s="3" t="inlineStr">
        <is>
          <t>TS-03</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COUNTA(A14:A19)</f>
        <v/>
      </c>
      <c r="C11" s="13" t="inlineStr">
        <is>
          <t>Pass</t>
        </is>
      </c>
      <c r="D11" s="14">
        <f>COUNTIFS(J14:J19,"Pass")</f>
        <v/>
      </c>
      <c r="E11" s="13" t="inlineStr">
        <is>
          <t>Fail</t>
        </is>
      </c>
      <c r="F11" s="14">
        <f>COUNTIFS(J14:J19,"Fail")</f>
        <v/>
      </c>
      <c r="G11" s="13" t="inlineStr">
        <is>
          <t>Blocked</t>
        </is>
      </c>
      <c r="H11" s="14">
        <f>COUNTIFS(J14:J19,"Blocked")</f>
        <v/>
      </c>
      <c r="I11" s="13" t="inlineStr">
        <is>
          <t>Not Run</t>
        </is>
      </c>
      <c r="J11" s="14">
        <f>COUNTIFS(J14:J19,"Not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TC-03-01</t>
        </is>
      </c>
      <c r="B14" s="23" t="inlineStr">
        <is>
          <t>TS-03
Cari dan lihat listing</t>
        </is>
      </c>
      <c r="C14" s="23" t="inlineStr">
        <is>
          <t>Daftar dan detail
Prioritas: P2
Desain: Review</t>
        </is>
      </c>
      <c r="D14" s="23" t="inlineStr">
        <is>
          <t>Listing aktif/nonaktif dan beberapa produk/varian tersedia.</t>
        </is>
      </c>
      <c r="E14" s="23" t="inlineStr">
        <is>
          <t>1. Buka marketplace lalu detail listing aktif.</t>
        </is>
      </c>
      <c r="F14" s="23" t="inlineStr">
        <is>
          <t>Listing QA aktif dan nonaktif; produk/varian valid; kata kunci cocok dan kata kunci tanpa hasil; akun tanpa listing dan dengan listing.</t>
        </is>
      </c>
      <c r="G14" s="23" t="inlineStr">
        <is>
          <t>Harga, deskripsi, Seller, varian, estimasi/metode penyerahan sesuai data.</t>
        </is>
      </c>
      <c r="H14" s="23" t="inlineStr">
        <is>
          <t>Daftar/detail dan navigasi sesuai hak akses. Tidak terbentuk transaksi dari sekadar pencarian atau membuka detail.</t>
        </is>
      </c>
      <c r="I14" s="24" t="inlineStr">
        <is>
          <t>Pengguna dan tamu dapat menjelajahi katalog listing aktif marketplace, melihat filter, dan kartu produk.</t>
        </is>
      </c>
      <c r="J14" s="25" t="inlineStr">
        <is>
          <t>Pass</t>
        </is>
      </c>
    </row>
    <row r="15" ht="100" customHeight="1">
      <c r="A15" s="22" t="inlineStr">
        <is>
          <t>TC-03-02</t>
        </is>
      </c>
      <c r="B15" s="23" t="inlineStr">
        <is>
          <t>TS-03
Cari dan lihat listing</t>
        </is>
      </c>
      <c r="C15" s="23" t="inlineStr">
        <is>
          <t>Pencarian cocok
Prioritas: P2
Desain: Review</t>
        </is>
      </c>
      <c r="D15" s="23" t="inlineStr">
        <is>
          <t>Listing aktif/nonaktif dan beberapa produk/varian tersedia.</t>
        </is>
      </c>
      <c r="E15" s="23" t="inlineStr">
        <is>
          <t>1. Cari kata kunci yang sesuai listing uji.</t>
        </is>
      </c>
      <c r="F15" s="23" t="inlineStr">
        <is>
          <t>Listing QA aktif dan nonaktif; produk/varian valid; kata kunci cocok dan kata kunci tanpa hasil; akun tanpa listing dan dengan listing.</t>
        </is>
      </c>
      <c r="G15" s="23" t="inlineStr">
        <is>
          <t>Hasil relevan ditampilkan sesuai aturan pencarian.</t>
        </is>
      </c>
      <c r="H15" s="23" t="inlineStr">
        <is>
          <t>Daftar/detail dan navigasi sesuai hak akses. Tidak terbentuk transaksi dari sekadar pencarian atau membuka detail.</t>
        </is>
      </c>
      <c r="I15" s="24" t="n"/>
      <c r="J15" s="25" t="inlineStr">
        <is>
          <t>Not Run</t>
        </is>
      </c>
    </row>
    <row r="16" ht="100" customHeight="1">
      <c r="A16" s="22" t="inlineStr">
        <is>
          <t>TC-03-03</t>
        </is>
      </c>
      <c r="B16" s="23" t="inlineStr">
        <is>
          <t>TS-03
Cari dan lihat listing</t>
        </is>
      </c>
      <c r="C16" s="23" t="inlineStr">
        <is>
          <t>Pencarian kosong
Prioritas: P2
Desain: Review</t>
        </is>
      </c>
      <c r="D16" s="23" t="inlineStr">
        <is>
          <t>Listing aktif/nonaktif dan beberapa produk/varian tersedia.</t>
        </is>
      </c>
      <c r="E16" s="23" t="inlineStr">
        <is>
          <t>1. Cari kata kunci yang tidak tersedia.</t>
        </is>
      </c>
      <c r="F16" s="23" t="inlineStr">
        <is>
          <t>Listing QA aktif dan nonaktif; produk/varian valid; kata kunci cocok dan kata kunci tanpa hasil; akun tanpa listing dan dengan listing.</t>
        </is>
      </c>
      <c r="G16" s="23" t="inlineStr">
        <is>
          <t>Keadaan kosong ditampilkan tanpa error.</t>
        </is>
      </c>
      <c r="H16" s="23" t="inlineStr">
        <is>
          <t>Daftar/detail dan navigasi sesuai hak akses. Tidak terbentuk transaksi dari sekadar pencarian atau membuka detail.</t>
        </is>
      </c>
      <c r="I16" s="24" t="n"/>
      <c r="J16" s="25" t="inlineStr">
        <is>
          <t>Not Run</t>
        </is>
      </c>
    </row>
    <row r="17" ht="100" customHeight="1">
      <c r="A17" s="22" t="inlineStr">
        <is>
          <t>TC-03-04</t>
        </is>
      </c>
      <c r="B17" s="23" t="inlineStr">
        <is>
          <t>TS-03
Cari dan lihat listing</t>
        </is>
      </c>
      <c r="C17" s="23" t="inlineStr">
        <is>
          <t>Listing nonaktif atau tidak ada
Prioritas: P2
Desain: Review</t>
        </is>
      </c>
      <c r="D17" s="23" t="inlineStr">
        <is>
          <t>Listing aktif/nonaktif dan beberapa produk/varian tersedia.</t>
        </is>
      </c>
      <c r="E17" s="23" t="inlineStr">
        <is>
          <t>1. Buka URL listing nonaktif/ID tidak ada
2. coba mulai transaksi.</t>
        </is>
      </c>
      <c r="F17" s="23" t="inlineStr">
        <is>
          <t>Listing QA aktif dan nonaktif; produk/varian valid; kata kunci cocok dan kata kunci tanpa hasil; akun tanpa listing dan dengan listing.</t>
        </is>
      </c>
      <c r="G17" s="23" t="inlineStr">
        <is>
          <t>Tidak dapat memulai transaksi baru; tidak ada kebocoran data atau error internal.</t>
        </is>
      </c>
      <c r="H17" s="23" t="inlineStr">
        <is>
          <t>Daftar/detail dan navigasi sesuai hak akses. Tidak terbentuk transaksi dari sekadar pencarian atau membuka detail.</t>
        </is>
      </c>
      <c r="I17" s="24" t="inlineStr">
        <is>
          <t>Akses ke detail listing dengan ID tidak valid atau tidak ditemukan mengembalikan halaman 404 Not Found.</t>
        </is>
      </c>
      <c r="J17" s="25" t="inlineStr">
        <is>
          <t>Pass</t>
        </is>
      </c>
    </row>
    <row r="18" ht="100" customHeight="1">
      <c r="A18" s="22" t="inlineStr">
        <is>
          <t>TC-03-05</t>
        </is>
      </c>
      <c r="B18" s="23" t="inlineStr">
        <is>
          <t>TS-03
Cari dan lihat listing</t>
        </is>
      </c>
      <c r="C18" s="23" t="inlineStr">
        <is>
          <t>Akses ingin berjualan
Prioritas: P2
Desain: Review</t>
        </is>
      </c>
      <c r="D18" s="23" t="inlineStr">
        <is>
          <t>Listing aktif/nonaktif dan beberapa produk/varian tersedia.</t>
        </is>
      </c>
      <c r="E18" s="23" t="inlineStr">
        <is>
          <t>1. Login akun tanpa listing
2. buka Marketplace
3. tekan ingin berjualan.</t>
        </is>
      </c>
      <c r="F18" s="23" t="inlineStr">
        <is>
          <t>Listing QA aktif dan nonaktif; produk/varian valid; kata kunci cocok dan kata kunci tanpa hasil; akun tanpa listing dan dengan listing.</t>
        </is>
      </c>
      <c r="G18" s="23" t="inlineStr">
        <is>
          <t>Aksi menuju form listing. Tombol mulai berjualan lama tidak muncul pada lokasi yang sudah diganti.</t>
        </is>
      </c>
      <c r="H18" s="23" t="inlineStr">
        <is>
          <t>Daftar/detail dan navigasi sesuai hak akses. Tidak terbentuk transaksi dari sekadar pencarian atau membuka detail.</t>
        </is>
      </c>
      <c r="I18" s="24" t="inlineStr">
        <is>
          <t>Pengguna yang belum menjadi penjual diarahkan ke halaman pendaftaran penjual saat klik 'Ingin Berjualan'.</t>
        </is>
      </c>
      <c r="J18" s="25" t="inlineStr">
        <is>
          <t>Pass</t>
        </is>
      </c>
    </row>
    <row r="19" ht="100" customHeight="1">
      <c r="A19" s="22" t="inlineStr">
        <is>
          <t>TC-03-06</t>
        </is>
      </c>
      <c r="B19" s="23" t="inlineStr">
        <is>
          <t>TS-03
Cari dan lihat listing</t>
        </is>
      </c>
      <c r="C19" s="23" t="inlineStr">
        <is>
          <t>Menu listing setelah produk pertama
Prioritas: P2
Desain: Review</t>
        </is>
      </c>
      <c r="D19" s="23" t="inlineStr">
        <is>
          <t>Listing aktif/nonaktif dan beberapa produk/varian tersedia.</t>
        </is>
      </c>
      <c r="E19" s="23" t="inlineStr">
        <is>
          <t>1. Pada A tanpa listing, catat navbar
2. buat satu listing valid lalu refresh/login ulang.</t>
        </is>
      </c>
      <c r="F19" s="23" t="inlineStr">
        <is>
          <t>Listing QA aktif dan nonaktif; produk/varian valid; kata kunci cocok dan kata kunci tanpa hasil; akun tanpa listing dan dengan listing.</t>
        </is>
      </c>
      <c r="G19" s="23" t="inlineStr">
        <is>
          <t>Menu listing belum muncul sebelum produk pertama dan muncul setelah minimal satu produk dibuat. Perilaku setelah seluruh listing dihapus menunggu D12.</t>
        </is>
      </c>
      <c r="H19" s="23" t="inlineStr">
        <is>
          <t>Daftar/detail dan navigasi sesuai hak akses. Tidak terbentuk transaksi dari sekadar pencarian atau membuka detail.</t>
        </is>
      </c>
      <c r="I19" s="24" t="inlineStr">
        <is>
          <t>Navigasi kelola listing tidak ditampilkan untuk pengguna non-penjual / tamu.</t>
        </is>
      </c>
      <c r="J19" s="25" t="inlineStr">
        <is>
          <t>Pass</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9">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9"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05285F"/>
    <outlinePr summaryBelow="1" summaryRight="1"/>
    <pageSetUpPr/>
  </sheetPr>
  <dimension ref="A1:J18"/>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TS-04  Kelola listing</t>
        </is>
      </c>
    </row>
    <row r="3" ht="20" customHeight="1">
      <c r="A3" s="5" t="inlineStr">
        <is>
          <t>TC-04-01 sampai TC-04-05  |  5 test case  |  Rancangan revisi 0.2</t>
        </is>
      </c>
    </row>
    <row r="4">
      <c r="A4" s="3" t="n"/>
      <c r="B4" s="3" t="n"/>
      <c r="C4" s="3" t="n"/>
      <c r="D4" s="3" t="n"/>
      <c r="E4" s="3" t="n"/>
      <c r="F4" s="3" t="n"/>
      <c r="G4" s="3" t="n"/>
      <c r="H4" s="3" t="n"/>
      <c r="I4" s="3" t="n"/>
      <c r="J4" s="3" t="n"/>
    </row>
    <row r="5" ht="23" customHeight="1">
      <c r="A5" s="7" t="inlineStr">
        <is>
          <t>Module Name</t>
        </is>
      </c>
      <c r="C5" s="3" t="inlineStr">
        <is>
          <t>Kelola listing</t>
        </is>
      </c>
      <c r="G5" s="7" t="inlineStr">
        <is>
          <t>Scenario ID</t>
        </is>
      </c>
      <c r="I5" s="3" t="inlineStr">
        <is>
          <t>TS-04</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COUNTA(A14:A18)</f>
        <v/>
      </c>
      <c r="C11" s="13" t="inlineStr">
        <is>
          <t>Pass</t>
        </is>
      </c>
      <c r="D11" s="14">
        <f>COUNTIFS(J14:J18,"Pass")</f>
        <v/>
      </c>
      <c r="E11" s="13" t="inlineStr">
        <is>
          <t>Fail</t>
        </is>
      </c>
      <c r="F11" s="14">
        <f>COUNTIFS(J14:J18,"Fail")</f>
        <v/>
      </c>
      <c r="G11" s="13" t="inlineStr">
        <is>
          <t>Blocked</t>
        </is>
      </c>
      <c r="H11" s="14">
        <f>COUNTIFS(J14:J18,"Blocked")</f>
        <v/>
      </c>
      <c r="I11" s="13" t="inlineStr">
        <is>
          <t>Not Run</t>
        </is>
      </c>
      <c r="J11" s="14">
        <f>COUNTIFS(J14:J18,"Not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TC-04-01</t>
        </is>
      </c>
      <c r="B14" s="23" t="inlineStr">
        <is>
          <t>TS-04
Kelola listing</t>
        </is>
      </c>
      <c r="C14" s="23" t="inlineStr">
        <is>
          <t>Buat listing valid
Prioritas: P2
Desain: Review
[Regresi BUG-01: Penekanan Enter berulang &amp; klik ganda]</t>
        </is>
      </c>
      <c r="D14" s="23" t="inlineStr">
        <is>
          <t>Seller A dan B aktif; katalog tersedia.</t>
        </is>
      </c>
      <c r="E14" s="23" t="inlineStr">
        <is>
          <t>1. Isi produk/varian, judul, deskripsi, harga, estimasi penyerahan
2. simpan.</t>
        </is>
      </c>
      <c r="F14" s="23" t="inlineStr">
        <is>
          <t>Seller QA A/B; kategori-produk-varian sah; judul/deskripsi, harga dan estimasi penyerahan pada fixture listing.</t>
        </is>
      </c>
      <c r="G14" s="23" t="inlineStr">
        <is>
          <t>Listing tersimpan atas pemilik benar; dapat ditemukan saat aktif.</t>
        </is>
      </c>
      <c r="H14" s="23" t="inlineStr">
        <is>
          <t>Listing hanya berubah oleh pemilik yang sah. Request ditolak tidak mengubah data; snapshot transaksi lama tetap.</t>
        </is>
      </c>
      <c r="I14" s="24" t="inlineStr">
        <is>
          <t>Penjual terdaftar dapat membuat listing produk baru dan tersimpan dengan status ACTIVE. Cakupan regresi penekanan Enter berulang 5x dan klik ganda berhasil diverifikasi: tepat 1 record tersimpan di database, tepat 1 entri muncul di UI (termasuk setelah reload), dan textarea Enter mendukung baris baru. (Tautan Bug: BUG-01 - Status: Closed).</t>
        </is>
      </c>
      <c r="J14" s="25" t="inlineStr">
        <is>
          <t>Pass</t>
        </is>
      </c>
    </row>
    <row r="15" ht="100" customHeight="1">
      <c r="A15" s="22" t="inlineStr">
        <is>
          <t>TC-04-02</t>
        </is>
      </c>
      <c r="B15" s="23" t="inlineStr">
        <is>
          <t>TS-04
Kelola listing</t>
        </is>
      </c>
      <c r="C15" s="23" t="inlineStr">
        <is>
          <t>Ubah listing sendiri
Prioritas: P2
Desain: Review</t>
        </is>
      </c>
      <c r="D15" s="23" t="inlineStr">
        <is>
          <t>Seller A dan B aktif; katalog tersedia.</t>
        </is>
      </c>
      <c r="E15" s="23" t="inlineStr">
        <is>
          <t>1. Ubah harga, rincian, estimasi listing sendiri.</t>
        </is>
      </c>
      <c r="F15" s="23" t="inlineStr">
        <is>
          <t>Seller QA A/B; kategori-produk-varian sah; judul/deskripsi, harga dan estimasi penyerahan pada fixture listing.</t>
        </is>
      </c>
      <c r="G15" s="23" t="inlineStr">
        <is>
          <t>Perubahan tersimpan; agreement final lama tetap sama.</t>
        </is>
      </c>
      <c r="H15" s="23" t="inlineStr">
        <is>
          <t>Listing hanya berubah oleh pemilik yang sah. Request ditolak tidak mengubah data; snapshot transaksi lama tetap.</t>
        </is>
      </c>
      <c r="I15" s="24" t="inlineStr">
        <is>
          <t>Penjual dapat memperbarui judul, deskripsi, dan harga pada listing miliknya.</t>
        </is>
      </c>
      <c r="J15" s="25" t="inlineStr">
        <is>
          <t>Pass</t>
        </is>
      </c>
    </row>
    <row r="16" ht="100" customHeight="1">
      <c r="A16" s="22" t="inlineStr">
        <is>
          <t>TC-04-03</t>
        </is>
      </c>
      <c r="B16" s="23" t="inlineStr">
        <is>
          <t>TS-04
Kelola listing</t>
        </is>
      </c>
      <c r="C16" s="23" t="inlineStr">
        <is>
          <t>Nonaktifkan listing
Prioritas: P2
Desain: Review</t>
        </is>
      </c>
      <c r="D16" s="23" t="inlineStr">
        <is>
          <t>Seller A dan B aktif; katalog tersedia.</t>
        </is>
      </c>
      <c r="E16" s="23" t="inlineStr">
        <is>
          <t>1. Nonaktifkan listing lalu coba checkout baru.</t>
        </is>
      </c>
      <c r="F16" s="23" t="inlineStr">
        <is>
          <t>Seller QA A/B; kategori-produk-varian sah; judul/deskripsi, harga dan estimasi penyerahan pada fixture listing.</t>
        </is>
      </c>
      <c r="G16" s="23" t="inlineStr">
        <is>
          <t>Transaksi baru ditolak; transaksi sebelumnya tetap dapat ditelusuri.</t>
        </is>
      </c>
      <c r="H16" s="23" t="inlineStr">
        <is>
          <t>Listing hanya berubah oleh pemilik yang sah. Request ditolak tidak mengubah data; snapshot transaksi lama tetap.</t>
        </is>
      </c>
      <c r="I16" s="24" t="inlineStr">
        <is>
          <t>Penjual dapat menutup listing (status berubah menjadi CLOSED) dan status diperbarui di tampilan.</t>
        </is>
      </c>
      <c r="J16" s="25" t="inlineStr">
        <is>
          <t>Pass</t>
        </is>
      </c>
    </row>
    <row r="17" ht="100" customHeight="1">
      <c r="A17" s="22" t="inlineStr">
        <is>
          <t>TC-04-04</t>
        </is>
      </c>
      <c r="B17" s="23" t="inlineStr">
        <is>
          <t>TS-04
Kelola listing</t>
        </is>
      </c>
      <c r="C17" s="23" t="inlineStr">
        <is>
          <t>Validasi listing
Prioritas: P2
Desain: Review</t>
        </is>
      </c>
      <c r="D17" s="23" t="inlineStr">
        <is>
          <t>Seller A dan B aktif; katalog tersedia.</t>
        </is>
      </c>
      <c r="E17" s="23" t="inlineStr">
        <is>
          <t>1. Uji kolom wajib kosong, harga nol/negatif, varian tidak sah, durasi nol/negatif.</t>
        </is>
      </c>
      <c r="F17" s="23" t="inlineStr">
        <is>
          <t>Seller QA A/B; kategori-produk-varian sah; judul/deskripsi, harga dan estimasi penyerahan pada fixture listing.</t>
        </is>
      </c>
      <c r="G17" s="23" t="inlineStr">
        <is>
          <t>Data tidak valid ditolak; tidak ada penyimpanan sebagian.</t>
        </is>
      </c>
      <c r="H17" s="23" t="inlineStr">
        <is>
          <t>Listing hanya berubah oleh pemilik yang sah. Request ditolak tidak mengubah data; snapshot transaksi lama tetap.</t>
        </is>
      </c>
      <c r="I17" s="24" t="inlineStr">
        <is>
          <t>Form listing menolak input kosong pada kolom wajib dan menolak harga/stok negatif.</t>
        </is>
      </c>
      <c r="J17" s="25" t="inlineStr">
        <is>
          <t>Pass</t>
        </is>
      </c>
    </row>
    <row r="18" ht="100" customHeight="1">
      <c r="A18" s="22" t="inlineStr">
        <is>
          <t>TC-04-05</t>
        </is>
      </c>
      <c r="B18" s="23" t="inlineStr">
        <is>
          <t>TS-04
Kelola listing</t>
        </is>
      </c>
      <c r="C18" s="23" t="inlineStr">
        <is>
          <t>Listing pihak lain
Prioritas: P2
Desain: Review</t>
        </is>
      </c>
      <c r="D18" s="23" t="inlineStr">
        <is>
          <t>Seller A dan B aktif; katalog tersedia.</t>
        </is>
      </c>
      <c r="E18" s="23" t="inlineStr">
        <is>
          <t>1. Seller B mencoba ubah/nonaktifkan listing A melalui UI/request langsung.</t>
        </is>
      </c>
      <c r="F18" s="23" t="inlineStr">
        <is>
          <t>Seller QA A/B; kategori-produk-varian sah; judul/deskripsi, harga dan estimasi penyerahan pada fixture listing.</t>
        </is>
      </c>
      <c r="G18" s="23" t="inlineStr">
        <is>
          <t>Ditolak; listing tetap sama.</t>
        </is>
      </c>
      <c r="H18" s="23" t="inlineStr">
        <is>
          <t>Listing hanya berubah oleh pemilik yang sah. Request ditolak tidak mengubah data; snapshot transaksi lama tetap.</t>
        </is>
      </c>
      <c r="I18" s="24" t="inlineStr">
        <is>
          <t>Penjual lain ditolak mengakses halaman edit listing milik orang lain dengan respon 403 Forbidden.</t>
        </is>
      </c>
      <c r="J18" s="25" t="inlineStr">
        <is>
          <t>Pass</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8">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8"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05285F"/>
    <outlinePr summaryBelow="1" summaryRight="1"/>
    <pageSetUpPr/>
  </sheetPr>
  <dimension ref="A1:J19"/>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TS-05  Informasi pasar produk</t>
        </is>
      </c>
    </row>
    <row r="3" ht="20" customHeight="1">
      <c r="A3" s="5" t="inlineStr">
        <is>
          <t>TC-05-01 sampai TC-05-06  |  6 test case  |  Rancangan revisi 0.2</t>
        </is>
      </c>
    </row>
    <row r="4">
      <c r="A4" s="3" t="n"/>
      <c r="B4" s="3" t="n"/>
      <c r="C4" s="3" t="n"/>
      <c r="D4" s="3" t="n"/>
      <c r="E4" s="3" t="n"/>
      <c r="F4" s="3" t="n"/>
      <c r="G4" s="3" t="n"/>
      <c r="H4" s="3" t="n"/>
      <c r="I4" s="3" t="n"/>
      <c r="J4" s="3" t="n"/>
    </row>
    <row r="5" ht="23" customHeight="1">
      <c r="A5" s="7" t="inlineStr">
        <is>
          <t>Module Name</t>
        </is>
      </c>
      <c r="C5" s="3" t="inlineStr">
        <is>
          <t>Informasi pasar produk</t>
        </is>
      </c>
      <c r="G5" s="7" t="inlineStr">
        <is>
          <t>Scenario ID</t>
        </is>
      </c>
      <c r="I5" s="3" t="inlineStr">
        <is>
          <t>TS-05</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COUNTA(A14:A19)</f>
        <v/>
      </c>
      <c r="C11" s="13" t="inlineStr">
        <is>
          <t>Pass</t>
        </is>
      </c>
      <c r="D11" s="14">
        <f>COUNTIFS(J14:J19,"Pass")</f>
        <v/>
      </c>
      <c r="E11" s="13" t="inlineStr">
        <is>
          <t>Fail</t>
        </is>
      </c>
      <c r="F11" s="14">
        <f>COUNTIFS(J14:J19,"Fail")</f>
        <v/>
      </c>
      <c r="G11" s="13" t="inlineStr">
        <is>
          <t>Blocked</t>
        </is>
      </c>
      <c r="H11" s="14">
        <f>COUNTIFS(J14:J19,"Blocked")</f>
        <v/>
      </c>
      <c r="I11" s="13" t="inlineStr">
        <is>
          <t>Not Run</t>
        </is>
      </c>
      <c r="J11" s="14">
        <f>COUNTIFS(J14:J19,"Not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7" customHeight="1">
      <c r="A14" s="22" t="inlineStr">
        <is>
          <t>TC-05-01</t>
        </is>
      </c>
      <c r="B14" s="23" t="inlineStr">
        <is>
          <t>TS-05
Informasi pasar produk</t>
        </is>
      </c>
      <c r="C14" s="23" t="inlineStr">
        <is>
          <t>Demand
Prioritas: P2
Desain: TBD</t>
        </is>
      </c>
      <c r="D14" s="23" t="inlineStr">
        <is>
          <t>Dataset WTB/WTS, listing, transaksi lintas varian/status tersedia. Periode dan minimum data TBD.</t>
        </is>
      </c>
      <c r="E14" s="23" t="inlineStr">
        <is>
          <t>1. Siapkan 3 WTB aktif dan 1 nonaktif pada varian sama
2. buka indikator.</t>
        </is>
      </c>
      <c r="F14" s="23" t="inlineStr">
        <is>
          <t>WTB/WTS aktif/nonaktif dan transaksi selesai lintas varian/status; periode serta minimum data mengikuti keputusan D10.
TBD: lengkapi aturan/data yang belum disahkan sebelum menjalankan kasus ini.</t>
        </is>
      </c>
      <c r="G14" s="23" t="inlineStr">
        <is>
          <t>Jika definisi usulan disahkan, demand = 3 dalam periode berlaku; sumber/periode dijelaskan.</t>
        </is>
      </c>
      <c r="H14" s="23" t="inlineStr">
        <is>
          <t>Indikator mengikuti dataset/periode yang disahkan; tidak mengubah data transaksi sumber.</t>
        </is>
      </c>
      <c r="I14" s="24" t="n"/>
      <c r="J14" s="25" t="inlineStr">
        <is>
          <t>Not Run</t>
        </is>
      </c>
    </row>
    <row r="15" ht="107" customHeight="1">
      <c r="A15" s="22" t="inlineStr">
        <is>
          <t>TC-05-02</t>
        </is>
      </c>
      <c r="B15" s="23" t="inlineStr">
        <is>
          <t>TS-05
Informasi pasar produk</t>
        </is>
      </c>
      <c r="C15" s="23" t="inlineStr">
        <is>
          <t>Supply
Prioritas: P2
Desain: TBD</t>
        </is>
      </c>
      <c r="D15" s="23" t="inlineStr">
        <is>
          <t>Dataset WTB/WTS, listing, transaksi lintas varian/status tersedia. Periode dan minimum data TBD.</t>
        </is>
      </c>
      <c r="E15" s="23" t="inlineStr">
        <is>
          <t>1. Siapkan 2 listing aktif, 1 WTS aktif, serta penawaran nonaktif.</t>
        </is>
      </c>
      <c r="F15" s="23" t="inlineStr">
        <is>
          <t>WTB/WTS aktif/nonaktif dan transaksi selesai lintas varian/status; periode serta minimum data mengikuti keputusan D10.
TBD: lengkapi aturan/data yang belum disahkan sebelum menjalankan kasus ini.</t>
        </is>
      </c>
      <c r="G15" s="23" t="inlineStr">
        <is>
          <t>Jika definisi usulan disahkan, supply = 3; bukan jumlah stok nyata.</t>
        </is>
      </c>
      <c r="H15" s="23" t="inlineStr">
        <is>
          <t>Indikator mengikuti dataset/periode yang disahkan; tidak mengubah data transaksi sumber.</t>
        </is>
      </c>
      <c r="I15" s="24" t="n"/>
      <c r="J15" s="25" t="inlineStr">
        <is>
          <t>Not Run</t>
        </is>
      </c>
    </row>
    <row r="16" ht="133" customHeight="1">
      <c r="A16" s="22" t="inlineStr">
        <is>
          <t>TC-05-03</t>
        </is>
      </c>
      <c r="B16" s="23" t="inlineStr">
        <is>
          <t>TS-05
Informasi pasar produk</t>
        </is>
      </c>
      <c r="C16" s="23" t="inlineStr">
        <is>
          <t>Rata rata harga
Prioritas: P2
Desain: TBD</t>
        </is>
      </c>
      <c r="D16" s="23" t="inlineStr">
        <is>
          <t>Dataset WTB/WTS, listing, transaksi lintas varian/status tersedia. Periode dan minimum data TBD.</t>
        </is>
      </c>
      <c r="E16" s="23" t="inlineStr">
        <is>
          <t>1. Siapkan transaksi selesai Rp100.000 dan Rp200.000 pada varian sama.</t>
        </is>
      </c>
      <c r="F16" s="23" t="inlineStr">
        <is>
          <t>WTB/WTS aktif/nonaktif dan transaksi selesai lintas varian/status; periode serta minimum data mengikuti keputusan D10.
Nilai khusus: Rp100.000; Rp200.000.
TBD: lengkapi aturan/data yang belum disahkan sebelum menjalankan kasus ini.</t>
        </is>
      </c>
      <c r="G16" s="23" t="inlineStr">
        <is>
          <t>Jika memenuhi periode/minimum data, rata-rata Rp150.000; jumlah data 2; tanpa fee.</t>
        </is>
      </c>
      <c r="H16" s="23" t="inlineStr">
        <is>
          <t>Indikator mengikuti dataset/periode yang disahkan; tidak mengubah data transaksi sumber.</t>
        </is>
      </c>
      <c r="I16" s="24" t="n"/>
      <c r="J16" s="25" t="inlineStr">
        <is>
          <t>Not Run</t>
        </is>
      </c>
    </row>
    <row r="17" ht="107" customHeight="1">
      <c r="A17" s="22" t="inlineStr">
        <is>
          <t>TC-05-04</t>
        </is>
      </c>
      <c r="B17" s="23" t="inlineStr">
        <is>
          <t>TS-05
Informasi pasar produk</t>
        </is>
      </c>
      <c r="C17" s="23" t="inlineStr">
        <is>
          <t>Pemisahan varian
Prioritas: P2
Desain: TBD</t>
        </is>
      </c>
      <c r="D17" s="23" t="inlineStr">
        <is>
          <t>Dataset WTB/WTS, listing, transaksi lintas varian/status tersedia. Periode dan minimum data TBD.</t>
        </is>
      </c>
      <c r="E17" s="23" t="inlineStr">
        <is>
          <t>1. Tambahkan produk mirip/varian lain dengan harga berbeda.</t>
        </is>
      </c>
      <c r="F17" s="23" t="inlineStr">
        <is>
          <t>WTB/WTS aktif/nonaktif dan transaksi selesai lintas varian/status; periode serta minimum data mengikuti keputusan D10.
TBD: lengkapi aturan/data yang belum disahkan sebelum menjalankan kasus ini.</t>
        </is>
      </c>
      <c r="G17" s="23" t="inlineStr">
        <is>
          <t>Varian lain tidak masuk perhitungan varian yang dibuka.</t>
        </is>
      </c>
      <c r="H17" s="23" t="inlineStr">
        <is>
          <t>Indikator mengikuti dataset/periode yang disahkan; tidak mengubah data transaksi sumber.</t>
        </is>
      </c>
      <c r="I17" s="24" t="n"/>
      <c r="J17" s="25" t="inlineStr">
        <is>
          <t>Not Run</t>
        </is>
      </c>
    </row>
    <row r="18" ht="107" customHeight="1">
      <c r="A18" s="22" t="inlineStr">
        <is>
          <t>TC-05-05</t>
        </is>
      </c>
      <c r="B18" s="23" t="inlineStr">
        <is>
          <t>TS-05
Informasi pasar produk</t>
        </is>
      </c>
      <c r="C18" s="23" t="inlineStr">
        <is>
          <t>Filter status dan periode
Prioritas: P2
Desain: TBD</t>
        </is>
      </c>
      <c r="D18" s="23" t="inlineStr">
        <is>
          <t>Dataset WTB/WTS, listing, transaksi lintas varian/status tersedia. Periode dan minimum data TBD.</t>
        </is>
      </c>
      <c r="E18" s="23" t="inlineStr">
        <is>
          <t>1. Tambahkan cancelled, refunded, belum selesai, dan transaksi di luar periode.</t>
        </is>
      </c>
      <c r="F18" s="23" t="inlineStr">
        <is>
          <t>WTB/WTS aktif/nonaktif dan transaksi selesai lintas varian/status; periode serta minimum data mengikuti keputusan D10.
TBD: lengkapi aturan/data yang belum disahkan sebelum menjalankan kasus ini.</t>
        </is>
      </c>
      <c r="G18" s="23" t="inlineStr">
        <is>
          <t>Data tidak memenuhi syarat tidak masuk rata-rata.</t>
        </is>
      </c>
      <c r="H18" s="23" t="inlineStr">
        <is>
          <t>Indikator mengikuti dataset/periode yang disahkan; tidak mengubah data transaksi sumber.</t>
        </is>
      </c>
      <c r="I18" s="24" t="n"/>
      <c r="J18" s="25" t="inlineStr">
        <is>
          <t>Not Run</t>
        </is>
      </c>
    </row>
    <row r="19" ht="107" customHeight="1">
      <c r="A19" s="22" t="inlineStr">
        <is>
          <t>TC-05-06</t>
        </is>
      </c>
      <c r="B19" s="23" t="inlineStr">
        <is>
          <t>TS-05
Informasi pasar produk</t>
        </is>
      </c>
      <c r="C19" s="23" t="inlineStr">
        <is>
          <t>Tanpa data harga
Prioritas: P2
Desain: TBD</t>
        </is>
      </c>
      <c r="D19" s="23" t="inlineStr">
        <is>
          <t>Dataset WTB/WTS, listing, transaksi lintas varian/status tersedia. Periode dan minimum data TBD.</t>
        </is>
      </c>
      <c r="E19" s="23" t="inlineStr">
        <is>
          <t>1. Buka varian tanpa transaksi layak.</t>
        </is>
      </c>
      <c r="F19" s="23" t="inlineStr">
        <is>
          <t>WTB/WTS aktif/nonaktif dan transaksi selesai lintas varian/status; periode serta minimum data mengikuti keputusan D10.
TBD: lengkapi aturan/data yang belum disahkan sebelum menjalankan kasus ini.</t>
        </is>
      </c>
      <c r="G19" s="23" t="inlineStr">
        <is>
          <t>Tampil “Data harga belum tersedia”; tidak ada rata-rata palsu atau error.</t>
        </is>
      </c>
      <c r="H19" s="23" t="inlineStr">
        <is>
          <t>Indikator mengikuti dataset/periode yang disahkan; tidak mengubah data transaksi sumber.</t>
        </is>
      </c>
      <c r="I19" s="24" t="n"/>
      <c r="J19"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9">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9"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tabColor rgb="FF05285F"/>
    <outlinePr summaryBelow="1" summaryRight="1"/>
    <pageSetUpPr/>
  </sheetPr>
  <dimension ref="A1:J20"/>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TS-06  Interaksi forum</t>
        </is>
      </c>
    </row>
    <row r="3" ht="20" customHeight="1">
      <c r="A3" s="5" t="inlineStr">
        <is>
          <t>TC-06-01 sampai TC-06-07  |  7 test case  |  Rancangan revisi 0.2</t>
        </is>
      </c>
    </row>
    <row r="4">
      <c r="A4" s="3" t="n"/>
      <c r="B4" s="3" t="n"/>
      <c r="C4" s="3" t="n"/>
      <c r="D4" s="3" t="n"/>
      <c r="E4" s="3" t="n"/>
      <c r="F4" s="3" t="n"/>
      <c r="G4" s="3" t="n"/>
      <c r="H4" s="3" t="n"/>
      <c r="I4" s="3" t="n"/>
      <c r="J4" s="3" t="n"/>
    </row>
    <row r="5" ht="23" customHeight="1">
      <c r="A5" s="7" t="inlineStr">
        <is>
          <t>Module Name</t>
        </is>
      </c>
      <c r="C5" s="3" t="inlineStr">
        <is>
          <t>Interaksi forum</t>
        </is>
      </c>
      <c r="G5" s="7" t="inlineStr">
        <is>
          <t>Scenario ID</t>
        </is>
      </c>
      <c r="I5" s="3" t="inlineStr">
        <is>
          <t>TS-06</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COUNTA(A14:A20)</f>
        <v/>
      </c>
      <c r="C11" s="13" t="inlineStr">
        <is>
          <t>Pass</t>
        </is>
      </c>
      <c r="D11" s="14">
        <f>COUNTIFS(J14:J20,"Pass")</f>
        <v/>
      </c>
      <c r="E11" s="13" t="inlineStr">
        <is>
          <t>Fail</t>
        </is>
      </c>
      <c r="F11" s="14">
        <f>COUNTIFS(J14:J20,"Fail")</f>
        <v/>
      </c>
      <c r="G11" s="13" t="inlineStr">
        <is>
          <t>Blocked</t>
        </is>
      </c>
      <c r="H11" s="14">
        <f>COUNTIFS(J14:J20,"Blocked")</f>
        <v/>
      </c>
      <c r="I11" s="13" t="inlineStr">
        <is>
          <t>Not Run</t>
        </is>
      </c>
      <c r="J11" s="14">
        <f>COUNTIFS(J14:J20,"Not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TC-06-01</t>
        </is>
      </c>
      <c r="B14" s="23" t="inlineStr">
        <is>
          <t>TS-06
Interaksi forum</t>
        </is>
      </c>
      <c r="C14" s="23" t="inlineStr">
        <is>
          <t>Kategori dan detail
Prioritas: P2
Desain: Review</t>
        </is>
      </c>
      <c r="D14" s="23" t="inlineStr">
        <is>
          <t>Posting Umum/WTB/WTS dan komentar tersedia; dua pengguna aktif.</t>
        </is>
      </c>
      <c r="E14" s="23" t="inlineStr">
        <is>
          <t>1. Buka setiap kategori, cari posting, baca detail.</t>
        </is>
      </c>
      <c r="F14" s="23" t="inlineStr">
        <is>
          <t>Posting Umum/WTB/WTS; akun QA A/B dan guest; teks komentar valid/kosong/spasi; like milik akun uji.</t>
        </is>
      </c>
      <c r="G14" s="23" t="inlineStr">
        <is>
          <t>Kategori, isi, penulis, foto sesuai posting.</t>
        </is>
      </c>
      <c r="H14" s="23" t="inlineStr">
        <is>
          <t>Komentar dan like hanya berubah pada posting/penulis yang benar; interaksi ditolak tidak menyimpan data.</t>
        </is>
      </c>
      <c r="I14" s="24" t="inlineStr">
        <is>
          <t>Pengguna dapat memfilter thread forum berdasarkan kategori GENERAL, WTB, dan WTS.</t>
        </is>
      </c>
      <c r="J14" s="25" t="inlineStr">
        <is>
          <t>Pass</t>
        </is>
      </c>
    </row>
    <row r="15" ht="100" customHeight="1">
      <c r="A15" s="22" t="inlineStr">
        <is>
          <t>TC-06-02</t>
        </is>
      </c>
      <c r="B15" s="23" t="inlineStr">
        <is>
          <t>TS-06
Interaksi forum</t>
        </is>
      </c>
      <c r="C15" s="23" t="inlineStr">
        <is>
          <t>Forum kosong
Prioritas: P2
Desain: Review</t>
        </is>
      </c>
      <c r="D15" s="23" t="inlineStr">
        <is>
          <t>Posting Umum/WTB/WTS dan komentar tersedia; dua pengguna aktif.</t>
        </is>
      </c>
      <c r="E15" s="23" t="inlineStr">
        <is>
          <t>1. Cari posting yang tidak ada/buka kategori kosong.</t>
        </is>
      </c>
      <c r="F15" s="23" t="inlineStr">
        <is>
          <t>Posting Umum/WTB/WTS; akun QA A/B dan guest; teks komentar valid/kosong/spasi; like milik akun uji.</t>
        </is>
      </c>
      <c r="G15" s="23" t="inlineStr">
        <is>
          <t>Keadaan kosong jelas ditampilkan.</t>
        </is>
      </c>
      <c r="H15" s="23" t="inlineStr">
        <is>
          <t>Komentar dan like hanya berubah pada posting/penulis yang benar; interaksi ditolak tidak menyimpan data.</t>
        </is>
      </c>
      <c r="I15" s="24" t="inlineStr">
        <is>
          <t>Pencarian thread dengan kata kunci acak menampilkan status pencarian kosong tanpa crash.</t>
        </is>
      </c>
      <c r="J15" s="25" t="inlineStr">
        <is>
          <t>Pass</t>
        </is>
      </c>
    </row>
    <row r="16" ht="100" customHeight="1">
      <c r="A16" s="22" t="inlineStr">
        <is>
          <t>TC-06-03</t>
        </is>
      </c>
      <c r="B16" s="23" t="inlineStr">
        <is>
          <t>TS-06
Interaksi forum</t>
        </is>
      </c>
      <c r="C16" s="23" t="inlineStr">
        <is>
          <t>Komentar valid
Prioritas: P2
Desain: Review</t>
        </is>
      </c>
      <c r="D16" s="23" t="inlineStr">
        <is>
          <t>Posting Umum/WTB/WTS dan komentar tersedia; dua pengguna aktif.</t>
        </is>
      </c>
      <c r="E16" s="23" t="inlineStr">
        <is>
          <t>1. Kirim komentar teks pada posting yang dapat diakses.</t>
        </is>
      </c>
      <c r="F16" s="23" t="inlineStr">
        <is>
          <t>Posting Umum/WTB/WTS; akun QA A/B dan guest; teks komentar valid/kosong/spasi; like milik akun uji.</t>
        </is>
      </c>
      <c r="G16" s="23" t="inlineStr">
        <is>
          <t>Komentar tersimpan pada posting dan penulis tepat.</t>
        </is>
      </c>
      <c r="H16" s="23" t="inlineStr">
        <is>
          <t>Komentar dan like hanya berubah pada posting/penulis yang benar; interaksi ditolak tidak menyimpan data.</t>
        </is>
      </c>
      <c r="I16" s="24" t="inlineStr">
        <is>
          <t>Pengguna terautentikasi dapat melihat detail posting forum dan berinteraksi dengan tombol like dan komentar.</t>
        </is>
      </c>
      <c r="J16" s="25" t="inlineStr">
        <is>
          <t>Pass</t>
        </is>
      </c>
    </row>
    <row r="17" ht="100" customHeight="1">
      <c r="A17" s="22" t="inlineStr">
        <is>
          <t>TC-06-04</t>
        </is>
      </c>
      <c r="B17" s="23" t="inlineStr">
        <is>
          <t>TS-06
Interaksi forum</t>
        </is>
      </c>
      <c r="C17" s="23" t="inlineStr">
        <is>
          <t>Komentar kosong
Prioritas: P2
Desain: Review</t>
        </is>
      </c>
      <c r="D17" s="23" t="inlineStr">
        <is>
          <t>Posting Umum/WTB/WTS dan komentar tersedia; dua pengguna aktif.</t>
        </is>
      </c>
      <c r="E17" s="23" t="inlineStr">
        <is>
          <t>1. Kirim komentar kosong/hanya spasi.</t>
        </is>
      </c>
      <c r="F17" s="23" t="inlineStr">
        <is>
          <t>Posting Umum/WTB/WTS; akun QA A/B dan guest; teks komentar valid/kosong/spasi; like milik akun uji.</t>
        </is>
      </c>
      <c r="G17" s="23" t="inlineStr">
        <is>
          <t>Ditolak; tidak ada record kosong.</t>
        </is>
      </c>
      <c r="H17" s="23" t="inlineStr">
        <is>
          <t>Komentar dan like hanya berubah pada posting/penulis yang benar; interaksi ditolak tidak menyimpan data.</t>
        </is>
      </c>
      <c r="I17" s="24" t="n"/>
      <c r="J17" s="25" t="inlineStr">
        <is>
          <t>Not Run</t>
        </is>
      </c>
    </row>
    <row r="18" ht="100" customHeight="1">
      <c r="A18" s="22" t="inlineStr">
        <is>
          <t>TC-06-05</t>
        </is>
      </c>
      <c r="B18" s="23" t="inlineStr">
        <is>
          <t>TS-06
Interaksi forum</t>
        </is>
      </c>
      <c r="C18" s="23" t="inlineStr">
        <is>
          <t>Like posting
Prioritas: P2
Desain: Review</t>
        </is>
      </c>
      <c r="D18" s="23" t="inlineStr">
        <is>
          <t>Posting Umum/WTB/WTS dan komentar tersedia; dua pengguna aktif.</t>
        </is>
      </c>
      <c r="E18" s="23" t="inlineStr">
        <is>
          <t>1. Like posting
2. ulangi request like
3. lalu unlike.</t>
        </is>
      </c>
      <c r="F18" s="23" t="inlineStr">
        <is>
          <t>Posting Umum/WTB/WTS; akun QA A/B dan guest; teks komentar valid/kosong/spasi; like milik akun uji.</t>
        </is>
      </c>
      <c r="G18" s="23" t="inlineStr">
        <is>
          <t>Maksimal satu like per pengguna/posting; jumlah akurat; unlike menghapus like miliknya.</t>
        </is>
      </c>
      <c r="H18" s="23" t="inlineStr">
        <is>
          <t>Komentar dan like hanya berubah pada posting/penulis yang benar; interaksi ditolak tidak menyimpan data.</t>
        </is>
      </c>
      <c r="I18" s="24" t="inlineStr">
        <is>
          <t>Tombol like dan form komentar tersedia pada posting aktif bagi pengguna terdaftar.</t>
        </is>
      </c>
      <c r="J18" s="25" t="inlineStr">
        <is>
          <t>Pass</t>
        </is>
      </c>
    </row>
    <row r="19" ht="100" customHeight="1">
      <c r="A19" s="22" t="inlineStr">
        <is>
          <t>TC-06-06</t>
        </is>
      </c>
      <c r="B19" s="23" t="inlineStr">
        <is>
          <t>TS-06
Interaksi forum</t>
        </is>
      </c>
      <c r="C19" s="23" t="inlineStr">
        <is>
          <t>Like komentar
Prioritas: P2
Desain: Review</t>
        </is>
      </c>
      <c r="D19" s="23" t="inlineStr">
        <is>
          <t>Posting Umum/WTB/WTS dan komentar tersedia; dua pengguna aktif.</t>
        </is>
      </c>
      <c r="E19" s="23" t="inlineStr">
        <is>
          <t>1. Like komentar
2. ulangi request
3. lalu unlike.</t>
        </is>
      </c>
      <c r="F19" s="23" t="inlineStr">
        <is>
          <t>Posting Umum/WTB/WTS; akun QA A/B dan guest; teks komentar valid/kosong/spasi; like milik akun uji.</t>
        </is>
      </c>
      <c r="G19" s="23" t="inlineStr">
        <is>
          <t>Maksimal satu like per pengguna/komentar; tidak memengaruhi like posting.</t>
        </is>
      </c>
      <c r="H19" s="23" t="inlineStr">
        <is>
          <t>Komentar dan like hanya berubah pada posting/penulis yang benar; interaksi ditolak tidak menyimpan data.</t>
        </is>
      </c>
      <c r="I19" s="24" t="n"/>
      <c r="J19" s="25" t="inlineStr">
        <is>
          <t>Not Run</t>
        </is>
      </c>
    </row>
    <row r="20" ht="100" customHeight="1">
      <c r="A20" s="22" t="inlineStr">
        <is>
          <t>TC-06-07</t>
        </is>
      </c>
      <c r="B20" s="23" t="inlineStr">
        <is>
          <t>TS-06
Interaksi forum</t>
        </is>
      </c>
      <c r="C20" s="23" t="inlineStr">
        <is>
          <t>Interaksi tanpa sesi
Prioritas: P2
Desain: Review</t>
        </is>
      </c>
      <c r="D20" s="23" t="inlineStr">
        <is>
          <t>Posting Umum/WTB/WTS dan komentar tersedia; dua pengguna aktif.</t>
        </is>
      </c>
      <c r="E20" s="23" t="inlineStr">
        <is>
          <t>1. Kirim komentar/like tanpa login.</t>
        </is>
      </c>
      <c r="F20" s="23" t="inlineStr">
        <is>
          <t>Posting Umum/WTB/WTS; akun QA A/B dan guest; teks komentar valid/kosong/spasi; like milik akun uji.</t>
        </is>
      </c>
      <c r="G20" s="23" t="inlineStr">
        <is>
          <t>Ditolak; data tidak berubah.</t>
        </is>
      </c>
      <c r="H20" s="23" t="inlineStr">
        <is>
          <t>Komentar dan like hanya berubah pada posting/penulis yang benar; interaksi ditolak tidak menyimpan data.</t>
        </is>
      </c>
      <c r="I20" s="24" t="inlineStr">
        <is>
          <t>Tamu yang mencoba membuat posting forum dialihkan ke halaman login.</t>
        </is>
      </c>
      <c r="J20" s="25" t="inlineStr">
        <is>
          <t>Pass</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20">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20"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tabColor rgb="FF05285F"/>
    <outlinePr summaryBelow="1" summaryRight="1"/>
    <pageSetUpPr/>
  </sheetPr>
  <dimension ref="A1:J21"/>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TS-07  Kelola posting forum</t>
        </is>
      </c>
    </row>
    <row r="3" ht="20" customHeight="1">
      <c r="A3" s="5" t="inlineStr">
        <is>
          <t>TC-07-01 sampai TC-07-08  |  8 test case  |  Rancangan revisi 0.2</t>
        </is>
      </c>
    </row>
    <row r="4">
      <c r="A4" s="3" t="n"/>
      <c r="B4" s="3" t="n"/>
      <c r="C4" s="3" t="n"/>
      <c r="D4" s="3" t="n"/>
      <c r="E4" s="3" t="n"/>
      <c r="F4" s="3" t="n"/>
      <c r="G4" s="3" t="n"/>
      <c r="H4" s="3" t="n"/>
      <c r="I4" s="3" t="n"/>
      <c r="J4" s="3" t="n"/>
    </row>
    <row r="5" ht="23" customHeight="1">
      <c r="A5" s="7" t="inlineStr">
        <is>
          <t>Module Name</t>
        </is>
      </c>
      <c r="C5" s="3" t="inlineStr">
        <is>
          <t>Kelola posting forum</t>
        </is>
      </c>
      <c r="G5" s="7" t="inlineStr">
        <is>
          <t>Scenario ID</t>
        </is>
      </c>
      <c r="I5" s="3" t="inlineStr">
        <is>
          <t>TS-07</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COUNTA(A14:A21)</f>
        <v/>
      </c>
      <c r="C11" s="13" t="inlineStr">
        <is>
          <t>Pass</t>
        </is>
      </c>
      <c r="D11" s="14">
        <f>COUNTIFS(J14:J21,"Pass")</f>
        <v/>
      </c>
      <c r="E11" s="13" t="inlineStr">
        <is>
          <t>Fail</t>
        </is>
      </c>
      <c r="F11" s="14">
        <f>COUNTIFS(J14:J21,"Fail")</f>
        <v/>
      </c>
      <c r="G11" s="13" t="inlineStr">
        <is>
          <t>Blocked</t>
        </is>
      </c>
      <c r="H11" s="14">
        <f>COUNTIFS(J14:J21,"Blocked")</f>
        <v/>
      </c>
      <c r="I11" s="13" t="inlineStr">
        <is>
          <t>Not Run</t>
        </is>
      </c>
      <c r="J11" s="14">
        <f>COUNTIFS(J14:J21,"Not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TC-07-01</t>
        </is>
      </c>
      <c r="B14" s="23" t="inlineStr">
        <is>
          <t>TS-07
Kelola posting forum</t>
        </is>
      </c>
      <c r="C14" s="23" t="inlineStr">
        <is>
          <t>Posting semua kategori
Prioritas: P2
Desain: Review</t>
        </is>
      </c>
      <c r="D14" s="23" t="inlineStr">
        <is>
          <t>Pengguna A/B aktif; produk/varian relevan tersedia.</t>
        </is>
      </c>
      <c r="E14" s="23" t="inlineStr">
        <is>
          <t>1. Buat posting Umum, WTB, WTS dengan kolom yang sesuai.</t>
        </is>
      </c>
      <c r="F14" s="23" t="inlineStr">
        <is>
          <t>Posting QA milik A dan B; kategori Umum/WTB/WTS; produk/varian sah/tidak sah; berkas gambar sesuai dataset.</t>
        </is>
      </c>
      <c r="G14" s="23" t="inlineStr">
        <is>
          <t>Kategori/pemilik benar; relasi produk mengikuti kategori.</t>
        </is>
      </c>
      <c r="H14" s="23" t="inlineStr">
        <is>
          <t>Posting, kategori, foto dan pemilik sesuai input sah; validasi gagal tidak menyimpan perubahan sebagian.</t>
        </is>
      </c>
      <c r="I14" s="24" t="inlineStr">
        <is>
          <t>Pengguna terdaftar dapat membuat postingan forum kategori umum dan berhasil diterbitkan.</t>
        </is>
      </c>
      <c r="J14" s="25" t="inlineStr">
        <is>
          <t>Pass</t>
        </is>
      </c>
    </row>
    <row r="15" ht="100" customHeight="1">
      <c r="A15" s="22" t="inlineStr">
        <is>
          <t>TC-07-02</t>
        </is>
      </c>
      <c r="B15" s="23" t="inlineStr">
        <is>
          <t>TS-07
Kelola posting forum</t>
        </is>
      </c>
      <c r="C15" s="23" t="inlineStr">
        <is>
          <t>Ubah dan nonaktifkan
Prioritas: P2
Desain: Review</t>
        </is>
      </c>
      <c r="D15" s="23" t="inlineStr">
        <is>
          <t>Pengguna A/B aktif; produk/varian relevan tersedia.</t>
        </is>
      </c>
      <c r="E15" s="23" t="inlineStr">
        <is>
          <t>1. Ubah posting sendiri lalu nonaktifkan.</t>
        </is>
      </c>
      <c r="F15" s="23" t="inlineStr">
        <is>
          <t>Posting QA milik A dan B; kategori Umum/WTB/WTS; produk/varian sah/tidak sah; berkas gambar sesuai dataset.</t>
        </is>
      </c>
      <c r="G15" s="23" t="inlineStr">
        <is>
          <t>Perubahan berlaku; tampilan/statistik mengikuti status; snapshot lama tetap.</t>
        </is>
      </c>
      <c r="H15" s="23" t="inlineStr">
        <is>
          <t>Posting, kategori, foto dan pemilik sesuai input sah; validasi gagal tidak menyimpan perubahan sebagian.</t>
        </is>
      </c>
      <c r="I15" s="24" t="inlineStr">
        <is>
          <t>Penulis dapat mengedit judul postingan dan menutup postingan via modal konfirmasi.</t>
        </is>
      </c>
      <c r="J15" s="25" t="inlineStr">
        <is>
          <t>Pass</t>
        </is>
      </c>
    </row>
    <row r="16" ht="107" customHeight="1">
      <c r="A16" s="22" t="inlineStr">
        <is>
          <t>TC-07-03</t>
        </is>
      </c>
      <c r="B16" s="23" t="inlineStr">
        <is>
          <t>TS-07
Kelola posting forum</t>
        </is>
      </c>
      <c r="C16" s="23" t="inlineStr">
        <is>
          <t>Batas foto
Prioritas: P2
Desain: TBD</t>
        </is>
      </c>
      <c r="D16" s="23" t="inlineStr">
        <is>
          <t>Pengguna A/B aktif; produk/varian relevan tersedia.</t>
        </is>
      </c>
      <c r="E16" s="23" t="inlineStr">
        <is>
          <t>1. Buat posting dengan 0, 1, 4, dan 5 foto.</t>
        </is>
      </c>
      <c r="F16" s="23" t="inlineStr">
        <is>
          <t>Posting QA milik A dan B; kategori Umum/WTB/WTS; produk/varian sah/tidak sah; berkas gambar sesuai dataset.
TBD: lengkapi aturan/data yang belum disahkan sebelum menjalankan kasus ini.</t>
        </is>
      </c>
      <c r="G16" s="23" t="inlineStr">
        <is>
          <t>0–4 diterima; 5 ditolak; foto pertama menjadi cover jika ada.</t>
        </is>
      </c>
      <c r="H16" s="23" t="inlineStr">
        <is>
          <t>Posting, kategori, foto dan pemilik sesuai input sah; validasi gagal tidak menyimpan perubahan sebagian.</t>
        </is>
      </c>
      <c r="I16" s="24" t="n"/>
      <c r="J16" s="25" t="inlineStr">
        <is>
          <t>Not Run</t>
        </is>
      </c>
    </row>
    <row r="17" ht="107" customHeight="1">
      <c r="A17" s="22" t="inlineStr">
        <is>
          <t>TC-07-04</t>
        </is>
      </c>
      <c r="B17" s="23" t="inlineStr">
        <is>
          <t>TS-07
Kelola posting forum</t>
        </is>
      </c>
      <c r="C17" s="23" t="inlineStr">
        <is>
          <t>Mengganti foto
Prioritas: P2
Desain: TBD</t>
        </is>
      </c>
      <c r="D17" s="23" t="inlineStr">
        <is>
          <t>Pengguna A/B aktif; produk/varian relevan tersedia.</t>
        </is>
      </c>
      <c r="E17" s="23" t="inlineStr">
        <is>
          <t>1. Pada posting 4 foto, hapus satu/tambah satu
2. coba tambah tanpa hapus.</t>
        </is>
      </c>
      <c r="F17" s="23" t="inlineStr">
        <is>
          <t>Posting QA milik A dan B; kategori Umum/WTB/WTS; produk/varian sah/tidak sah; berkas gambar sesuai dataset.
TBD: lengkapi aturan/data yang belum disahkan sebelum menjalankan kasus ini.</t>
        </is>
      </c>
      <c r="G17" s="23" t="inlineStr">
        <is>
          <t>Total maksimal 4; foto kelima ditolak.</t>
        </is>
      </c>
      <c r="H17" s="23" t="inlineStr">
        <is>
          <t>Posting, kategori, foto dan pemilik sesuai input sah; validasi gagal tidak menyimpan perubahan sebagian.</t>
        </is>
      </c>
      <c r="I17" s="24" t="n"/>
      <c r="J17" s="25" t="inlineStr">
        <is>
          <t>Not Run</t>
        </is>
      </c>
    </row>
    <row r="18" ht="100" customHeight="1">
      <c r="A18" s="22" t="inlineStr">
        <is>
          <t>TC-07-05</t>
        </is>
      </c>
      <c r="B18" s="23" t="inlineStr">
        <is>
          <t>TS-07
Kelola posting forum</t>
        </is>
      </c>
      <c r="C18" s="23" t="inlineStr">
        <is>
          <t>Kolom dan relasi salah
Prioritas: P2
Desain: Review</t>
        </is>
      </c>
      <c r="D18" s="23" t="inlineStr">
        <is>
          <t>Pengguna A/B aktif; produk/varian relevan tersedia.</t>
        </is>
      </c>
      <c r="E18" s="23" t="inlineStr">
        <is>
          <t>1. Kosongkan judul/isi/kategori wajib
2. gunakan varian tidak sah.</t>
        </is>
      </c>
      <c r="F18" s="23" t="inlineStr">
        <is>
          <t>Posting QA milik A dan B; kategori Umum/WTB/WTS; produk/varian sah/tidak sah; berkas gambar sesuai dataset.</t>
        </is>
      </c>
      <c r="G18" s="23" t="inlineStr">
        <is>
          <t>Penyimpanan ditolak dengan pesan sesuai.</t>
        </is>
      </c>
      <c r="H18" s="23" t="inlineStr">
        <is>
          <t>Posting, kategori, foto dan pemilik sesuai input sah; validasi gagal tidak menyimpan perubahan sebagian.</t>
        </is>
      </c>
      <c r="I18" s="24" t="inlineStr">
        <is>
          <t>Formulir posting menolak pengiriman jika kolom wajib tidak diisi.</t>
        </is>
      </c>
      <c r="J18" s="25" t="inlineStr">
        <is>
          <t>Pass</t>
        </is>
      </c>
    </row>
    <row r="19" ht="100" customHeight="1">
      <c r="A19" s="22" t="inlineStr">
        <is>
          <t>TC-07-06</t>
        </is>
      </c>
      <c r="B19" s="23" t="inlineStr">
        <is>
          <t>TS-07
Kelola posting forum</t>
        </is>
      </c>
      <c r="C19" s="23" t="inlineStr">
        <is>
          <t>Posting pihak lain
Prioritas: P2
Desain: Review</t>
        </is>
      </c>
      <c r="D19" s="23" t="inlineStr">
        <is>
          <t>Pengguna A/B aktif; produk/varian relevan tersedia.</t>
        </is>
      </c>
      <c r="E19" s="23" t="inlineStr">
        <is>
          <t>1. B mencoba ubah/nonaktifkan posting A lewat UI/request.</t>
        </is>
      </c>
      <c r="F19" s="23" t="inlineStr">
        <is>
          <t>Posting QA milik A dan B; kategori Umum/WTB/WTS; produk/varian sah/tidak sah; berkas gambar sesuai dataset.</t>
        </is>
      </c>
      <c r="G19" s="23" t="inlineStr">
        <is>
          <t>Ditolak; posting tidak berubah.</t>
        </is>
      </c>
      <c r="H19" s="23" t="inlineStr">
        <is>
          <t>Posting, kategori, foto dan pemilik sesuai input sah; validasi gagal tidak menyimpan perubahan sebagian.</t>
        </is>
      </c>
      <c r="I19" s="24" t="n"/>
      <c r="J19" s="25" t="inlineStr">
        <is>
          <t>Not Run</t>
        </is>
      </c>
    </row>
    <row r="20" ht="100" customHeight="1">
      <c r="A20" s="22" t="inlineStr">
        <is>
          <t>TC-07-07</t>
        </is>
      </c>
      <c r="B20" s="23" t="inlineStr">
        <is>
          <t>TS-07
Kelola posting forum</t>
        </is>
      </c>
      <c r="C20" s="23" t="inlineStr">
        <is>
          <t>Form Forum Umum
Prioritas: P2
Desain: Review</t>
        </is>
      </c>
      <c r="D20" s="23" t="inlineStr">
        <is>
          <t>Pengguna A/B aktif; produk/varian relevan tersedia.</t>
        </is>
      </c>
      <c r="E20" s="23" t="inlineStr">
        <is>
          <t>1. Pilih Umum
2. isi judul/isi diskusi yang valid
3. simpan tanpa memilih katalog atau harga transaksi.</t>
        </is>
      </c>
      <c r="F20" s="23" t="inlineStr">
        <is>
          <t>Posting QA milik A dan B; kategori Umum/WTB/WTS; produk/varian sah/tidak sah; berkas gambar sesuai dataset.</t>
        </is>
      </c>
      <c r="G20" s="23" t="inlineStr">
        <is>
          <t>Diskusi berhasil dibuat; kolom transaksi tidak diwajibkan untuk Umum; tidak terbentuk transaksi escrow.</t>
        </is>
      </c>
      <c r="H20" s="23" t="inlineStr">
        <is>
          <t>Posting, kategori, foto dan pemilik sesuai input sah; validasi gagal tidak menyimpan perubahan sebagian.</t>
        </is>
      </c>
      <c r="I20" s="24" t="n"/>
      <c r="J20" s="25" t="inlineStr">
        <is>
          <t>Not Run</t>
        </is>
      </c>
    </row>
    <row r="21" ht="100" customHeight="1">
      <c r="A21" s="22" t="inlineStr">
        <is>
          <t>TC-07-08</t>
        </is>
      </c>
      <c r="B21" s="23" t="inlineStr">
        <is>
          <t>TS-07
Kelola posting forum</t>
        </is>
      </c>
      <c r="C21" s="23" t="inlineStr">
        <is>
          <t>Perpindahan kategori
Prioritas: P2
Desain: Review</t>
        </is>
      </c>
      <c r="D21" s="23" t="inlineStr">
        <is>
          <t>Pengguna A/B aktif; produk/varian relevan tersedia.</t>
        </is>
      </c>
      <c r="E21" s="23" t="inlineStr">
        <is>
          <t>1. Mulai dari Umum lalu pilih WTB dan WTS pada percobaan berbeda
2. submit data sesuai tiap kategori.</t>
        </is>
      </c>
      <c r="F21" s="23" t="inlineStr">
        <is>
          <t>Posting QA milik A dan B; kategori Umum/WTB/WTS; produk/varian sah/tidak sah; berkas gambar sesuai dataset.</t>
        </is>
      </c>
      <c r="G21" s="23" t="inlineStr">
        <is>
          <t>Field dan validasi mengikuti kategori yang dipilih; perubahan form Umum tidak merusak WTB/WTS.</t>
        </is>
      </c>
      <c r="H21" s="23" t="inlineStr">
        <is>
          <t>Posting, kategori, foto dan pemilik sesuai input sah; validasi gagal tidak menyimpan perubahan sebagian.</t>
        </is>
      </c>
      <c r="I21" s="24" t="n"/>
      <c r="J21"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21">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21"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FF05285F"/>
    <outlinePr summaryBelow="1" summaryRight="1"/>
    <pageSetUpPr/>
  </sheetPr>
  <dimension ref="A1:J22"/>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TS-08  Pesan melalui DM</t>
        </is>
      </c>
    </row>
    <row r="3" ht="20" customHeight="1">
      <c r="A3" s="5" t="inlineStr">
        <is>
          <t>TC-08-01 sampai TC-08-09  |  9 test case  |  Rancangan revisi 0.2</t>
        </is>
      </c>
    </row>
    <row r="4">
      <c r="A4" s="3" t="n"/>
      <c r="B4" s="3" t="n"/>
      <c r="C4" s="3" t="n"/>
      <c r="D4" s="3" t="n"/>
      <c r="E4" s="3" t="n"/>
      <c r="F4" s="3" t="n"/>
      <c r="G4" s="3" t="n"/>
      <c r="H4" s="3" t="n"/>
      <c r="I4" s="3" t="n"/>
      <c r="J4" s="3" t="n"/>
    </row>
    <row r="5" ht="23" customHeight="1">
      <c r="A5" s="7" t="inlineStr">
        <is>
          <t>Module Name</t>
        </is>
      </c>
      <c r="C5" s="3" t="inlineStr">
        <is>
          <t>Pesan melalui DM</t>
        </is>
      </c>
      <c r="G5" s="7" t="inlineStr">
        <is>
          <t>Scenario ID</t>
        </is>
      </c>
      <c r="I5" s="3" t="inlineStr">
        <is>
          <t>TS-08</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COUNTA(A14:A22)</f>
        <v/>
      </c>
      <c r="C11" s="13" t="inlineStr">
        <is>
          <t>Pass</t>
        </is>
      </c>
      <c r="D11" s="14">
        <f>COUNTIFS(J14:J22,"Pass")</f>
        <v/>
      </c>
      <c r="E11" s="13" t="inlineStr">
        <is>
          <t>Fail</t>
        </is>
      </c>
      <c r="F11" s="14">
        <f>COUNTIFS(J14:J22,"Fail")</f>
        <v/>
      </c>
      <c r="G11" s="13" t="inlineStr">
        <is>
          <t>Blocked</t>
        </is>
      </c>
      <c r="H11" s="14">
        <f>COUNTIFS(J14:J22,"Blocked")</f>
        <v/>
      </c>
      <c r="I11" s="13" t="inlineStr">
        <is>
          <t>Not Run</t>
        </is>
      </c>
      <c r="J11" s="14">
        <f>COUNTIFS(J14:J22,"Not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TC-08-01</t>
        </is>
      </c>
      <c r="B14" s="23" t="inlineStr">
        <is>
          <t>TS-08
Pesan melalui DM</t>
        </is>
      </c>
      <c r="C14" s="23" t="inlineStr">
        <is>
          <t>Membuka percakapan
Prioritas: P1
Desain: Review</t>
        </is>
      </c>
      <c r="D14" s="23" t="inlineStr">
        <is>
          <t>Dua peserta, satu nonpeserta, dan konteks listing/posting tersedia.</t>
        </is>
      </c>
      <c r="E14" s="23" t="inlineStr">
        <is>
          <t>1. Mulai DM dari listing dan posting forum.</t>
        </is>
      </c>
      <c r="F14" s="23" t="inlineStr">
        <is>
          <t>Akun QA A/B sebagai peserta dan C nonpeserta; conversation ID, listing/post ID fixture; teks pesan penanda unik per percobaan.</t>
        </is>
      </c>
      <c r="G14" s="23" t="inlineStr">
        <is>
          <t>Dua peserta berbeda; satu konteks asal yang tepat.</t>
        </is>
      </c>
      <c r="H14" s="23" t="inlineStr">
        <is>
          <t>Pesan hanya tersimpan pada percakapan dan pengirim yang benar. Nonpeserta tidak membaca/mengirim; DM tidak memfinalkan transaksi.</t>
        </is>
      </c>
      <c r="I14" s="24" t="inlineStr">
        <is>
          <t>Pembeli dapat memulai percakapan negosiasi dari posting forum dan terdaftar di inbox percakapan.</t>
        </is>
      </c>
      <c r="J14" s="25" t="inlineStr">
        <is>
          <t>Pass</t>
        </is>
      </c>
    </row>
    <row r="15" ht="100" customHeight="1">
      <c r="A15" s="22" t="inlineStr">
        <is>
          <t>TC-08-02</t>
        </is>
      </c>
      <c r="B15" s="23" t="inlineStr">
        <is>
          <t>TS-08
Pesan melalui DM</t>
        </is>
      </c>
      <c r="C15" s="23" t="inlineStr">
        <is>
          <t>Kirim baca balas
Prioritas: P1
Desain: Review</t>
        </is>
      </c>
      <c r="D15" s="23" t="inlineStr">
        <is>
          <t>Dua peserta, satu nonpeserta, dan konteks listing/posting tersedia.</t>
        </is>
      </c>
      <c r="E15" s="23" t="inlineStr">
        <is>
          <t>1. A mengirim
2. B membaca dan membalas.</t>
        </is>
      </c>
      <c r="F15" s="23" t="inlineStr">
        <is>
          <t>Akun QA A/B sebagai peserta dan C nonpeserta; conversation ID, listing/post ID fixture; teks pesan penanda unik per percobaan.</t>
        </is>
      </c>
      <c r="G15" s="23" t="inlineStr">
        <is>
          <t>Isi, pengirim, waktu, status baca tersimpan benar.</t>
        </is>
      </c>
      <c r="H15" s="23" t="inlineStr">
        <is>
          <t>Pesan hanya tersimpan pada percakapan dan pengirim yang benar. Nonpeserta tidak membaca/mengirim; DM tidak memfinalkan transaksi.</t>
        </is>
      </c>
      <c r="I15" s="24" t="inlineStr">
        <is>
          <t>Pengguna dapat mengirim pesan teks di thread percakapan dan pesan muncul pada riwayat chat.</t>
        </is>
      </c>
      <c r="J15" s="25" t="inlineStr">
        <is>
          <t>Pass</t>
        </is>
      </c>
    </row>
    <row r="16" ht="100" customHeight="1">
      <c r="A16" s="22" t="inlineStr">
        <is>
          <t>TC-08-03</t>
        </is>
      </c>
      <c r="B16" s="23" t="inlineStr">
        <is>
          <t>TS-08
Pesan melalui DM</t>
        </is>
      </c>
      <c r="C16" s="23" t="inlineStr">
        <is>
          <t>Pesan kosong
Prioritas: P1
Desain: Review</t>
        </is>
      </c>
      <c r="D16" s="23" t="inlineStr">
        <is>
          <t>Dua peserta, satu nonpeserta, dan konteks listing/posting tersedia.</t>
        </is>
      </c>
      <c r="E16" s="23" t="inlineStr">
        <is>
          <t>1. Kirim teks kosong/hanya spasi.</t>
        </is>
      </c>
      <c r="F16" s="23" t="inlineStr">
        <is>
          <t>Akun QA A/B sebagai peserta dan C nonpeserta; conversation ID, listing/post ID fixture; teks pesan penanda unik per percobaan.</t>
        </is>
      </c>
      <c r="G16" s="23" t="inlineStr">
        <is>
          <t>Ditolak tanpa pesan baru.</t>
        </is>
      </c>
      <c r="H16" s="23" t="inlineStr">
        <is>
          <t>Pesan hanya tersimpan pada percakapan dan pengirim yang benar. Nonpeserta tidak membaca/mengirim; DM tidak memfinalkan transaksi.</t>
        </is>
      </c>
      <c r="I16" s="24" t="inlineStr">
        <is>
          <t>Form chat menolak pengiriman pesan jika teks kosong tanpa membuat bubble pesan baru.</t>
        </is>
      </c>
      <c r="J16" s="25" t="inlineStr">
        <is>
          <t>Pass</t>
        </is>
      </c>
    </row>
    <row r="17" ht="100" customHeight="1">
      <c r="A17" s="22" t="inlineStr">
        <is>
          <t>TC-08-04</t>
        </is>
      </c>
      <c r="B17" s="23" t="inlineStr">
        <is>
          <t>TS-08
Pesan melalui DM</t>
        </is>
      </c>
      <c r="C17" s="23" t="inlineStr">
        <is>
          <t>Akses nonpeserta
Prioritas: P1
Desain: Review</t>
        </is>
      </c>
      <c r="D17" s="23" t="inlineStr">
        <is>
          <t>Dua peserta, satu nonpeserta, dan konteks listing/posting tersedia.</t>
        </is>
      </c>
      <c r="E17" s="23" t="inlineStr">
        <is>
          <t>1. C membuka dan mengirim pesan memakai ID percakapan tersebut.</t>
        </is>
      </c>
      <c r="F17" s="23" t="inlineStr">
        <is>
          <t>Akun QA A/B sebagai peserta dan C nonpeserta; conversation ID, listing/post ID fixture; teks pesan penanda unik per percobaan.</t>
        </is>
      </c>
      <c r="G17" s="23" t="inlineStr">
        <is>
          <t>Pembacaan/pengiriman ditolak.</t>
        </is>
      </c>
      <c r="H17" s="23" t="inlineStr">
        <is>
          <t>Pesan hanya tersimpan pada percakapan dan pengirim yang benar. Nonpeserta tidak membaca/mengirim; DM tidak memfinalkan transaksi.</t>
        </is>
      </c>
      <c r="I17" s="24" t="inlineStr">
        <is>
          <t>Pengguna pihak ketiga ditolak mengakses thread percakapan milik orang lain (403 Forbidden).</t>
        </is>
      </c>
      <c r="J17" s="25" t="inlineStr">
        <is>
          <t>Pass</t>
        </is>
      </c>
    </row>
    <row r="18" ht="100" customHeight="1">
      <c r="A18" s="22" t="inlineStr">
        <is>
          <t>TC-08-05</t>
        </is>
      </c>
      <c r="B18" s="23" t="inlineStr">
        <is>
          <t>TS-08
Pesan melalui DM</t>
        </is>
      </c>
      <c r="C18" s="23" t="inlineStr">
        <is>
          <t>DM bukan finalisasi
Prioritas: P1
Desain: Review</t>
        </is>
      </c>
      <c r="D18" s="23" t="inlineStr">
        <is>
          <t>Dua peserta, satu nonpeserta, dan konteks listing/posting tersedia.</t>
        </is>
      </c>
      <c r="E18" s="23" t="inlineStr">
        <is>
          <t>1. Kirim pesan kesepakatan/penyerahan tanpa alur formal.</t>
        </is>
      </c>
      <c r="F18" s="23" t="inlineStr">
        <is>
          <t>Akun QA A/B sebagai peserta dan C nonpeserta; conversation ID, listing/post ID fixture; teks pesan penanda unik per percobaan.</t>
        </is>
      </c>
      <c r="G18" s="23" t="inlineStr">
        <is>
          <t>Pesan tidak otomatis membuat agreement final, transaksi, atau status DELIVERED.</t>
        </is>
      </c>
      <c r="H18" s="23" t="inlineStr">
        <is>
          <t>Pesan hanya tersimpan pada percakapan dan pengirim yang benar. Nonpeserta tidak membaca/mengirim; DM tidak memfinalkan transaksi.</t>
        </is>
      </c>
      <c r="I18" s="24" t="n"/>
      <c r="J18" s="25" t="inlineStr">
        <is>
          <t>Not Run</t>
        </is>
      </c>
    </row>
    <row r="19" ht="100" customHeight="1">
      <c r="A19" s="22" t="inlineStr">
        <is>
          <t>TC-08-06</t>
        </is>
      </c>
      <c r="B19" s="23" t="inlineStr">
        <is>
          <t>TS-08
Pesan melalui DM</t>
        </is>
      </c>
      <c r="C19" s="23" t="inlineStr">
        <is>
          <t>Daftar chat mengambang
Prioritas: P2
Desain: Review</t>
        </is>
      </c>
      <c r="D19" s="23" t="inlineStr">
        <is>
          <t>Dua peserta, satu nonpeserta, dan konteks listing/posting tersedia.</t>
        </is>
      </c>
      <c r="E19" s="23" t="inlineStr">
        <is>
          <t>1. Klik ikon kanan bawah lalu pilih salah satu percakapan A-B.</t>
        </is>
      </c>
      <c r="F19" s="23" t="inlineStr">
        <is>
          <t>Akun QA A/B sebagai peserta dan C nonpeserta; conversation ID, listing/post ID fixture; teks pesan penanda unik per percobaan.</t>
        </is>
      </c>
      <c r="G19" s="23" t="inlineStr">
        <is>
          <t>Daftar percakapan terbuka; chat yang dipilih sesuai peserta; tampilan dapat ditutup lewat X tanpa tombol minus yang sudah dihapus.</t>
        </is>
      </c>
      <c r="H19" s="23" t="inlineStr">
        <is>
          <t>Pesan hanya tersimpan pada percakapan dan pengirim yang benar. Nonpeserta tidak membaca/mengirim; DM tidak memfinalkan transaksi.</t>
        </is>
      </c>
      <c r="I19" s="24" t="inlineStr">
        <is>
          <t>Widget chat mengambang (floating drawer) dapat dibuka dan ditutup menggunakan tombol X.</t>
        </is>
      </c>
      <c r="J19" s="25" t="inlineStr">
        <is>
          <t>Pass</t>
        </is>
      </c>
    </row>
    <row r="20" ht="100" customHeight="1">
      <c r="A20" s="22" t="inlineStr">
        <is>
          <t>TC-08-07</t>
        </is>
      </c>
      <c r="B20" s="23" t="inlineStr">
        <is>
          <t>TS-08
Pesan melalui DM</t>
        </is>
      </c>
      <c r="C20" s="23" t="inlineStr">
        <is>
          <t>Enter dan tombol kirim
Prioritas: P2
Desain: Review</t>
        </is>
      </c>
      <c r="D20" s="23" t="inlineStr">
        <is>
          <t>Dua peserta, satu nonpeserta, dan konteks listing/posting tersedia.</t>
        </is>
      </c>
      <c r="E20" s="23" t="inlineStr">
        <is>
          <t>1. Kirim teks unik satu kali lewat Enter
2. pada dataset lain lewat tombol kirim
3. buka ulang chat.</t>
        </is>
      </c>
      <c r="F20" s="23" t="inlineStr">
        <is>
          <t>Akun QA A/B sebagai peserta dan C nonpeserta; conversation ID, listing/post ID fixture; teks pesan penanda unik per percobaan.</t>
        </is>
      </c>
      <c r="G20" s="23" t="inlineStr">
        <is>
          <t>Masing-masing aksi membuat tepat satu pesan; pengirim dan percakapan benar; pesan bertahan setelah dibuka ulang.</t>
        </is>
      </c>
      <c r="H20" s="23" t="inlineStr">
        <is>
          <t>Pesan hanya tersimpan pada percakapan dan pengirim yang benar. Nonpeserta tidak membaca/mengirim; DM tidak memfinalkan transaksi.</t>
        </is>
      </c>
      <c r="I20" s="24" t="n"/>
      <c r="J20" s="25" t="inlineStr">
        <is>
          <t>Not Run</t>
        </is>
      </c>
    </row>
    <row r="21" ht="100" customHeight="1">
      <c r="A21" s="22" t="inlineStr">
        <is>
          <t>TC-08-08</t>
        </is>
      </c>
      <c r="B21" s="23" t="inlineStr">
        <is>
          <t>TS-08
Pesan melalui DM</t>
        </is>
      </c>
      <c r="C21" s="23" t="inlineStr">
        <is>
          <t>Konteks Forum ke DM
Prioritas: P2
Desain: Review</t>
        </is>
      </c>
      <c r="D21" s="23" t="inlineStr">
        <is>
          <t>Dua peserta, satu nonpeserta, dan konteks listing/posting tersedia.</t>
        </is>
      </c>
      <c r="E21" s="23" t="inlineStr">
        <is>
          <t>1. Dari posting milik B, A membuka chat dan mengirim teks unik
2. periksa konteks percakapan.</t>
        </is>
      </c>
      <c r="F21" s="23" t="inlineStr">
        <is>
          <t>Akun QA A/B sebagai peserta dan C nonpeserta; conversation ID, listing/post ID fixture; teks pesan penanda unik per percobaan.</t>
        </is>
      </c>
      <c r="G21" s="23" t="inlineStr">
        <is>
          <t>Chat menuju B dengan referensi posting yang tepat; tidak mengambil listing/posting milik pengguna lain.</t>
        </is>
      </c>
      <c r="H21" s="23" t="inlineStr">
        <is>
          <t>Pesan hanya tersimpan pada percakapan dan pengirim yang benar. Nonpeserta tidak membaca/mengirim; DM tidak memfinalkan transaksi.</t>
        </is>
      </c>
      <c r="I21" s="24" t="n"/>
      <c r="J21" s="25" t="inlineStr">
        <is>
          <t>Not Run</t>
        </is>
      </c>
    </row>
    <row r="22" ht="100" customHeight="1">
      <c r="A22" s="22" t="inlineStr">
        <is>
          <t>TC-08-09</t>
        </is>
      </c>
      <c r="B22" s="23" t="inlineStr">
        <is>
          <t>TS-08
Pesan melalui DM</t>
        </is>
      </c>
      <c r="C22" s="23" t="inlineStr">
        <is>
          <t>Ganti chat tanpa salah kirim
Prioritas: P1
Desain: Review</t>
        </is>
      </c>
      <c r="D22" s="23" t="inlineStr">
        <is>
          <t>Dua peserta, satu nonpeserta, dan konteks listing/posting tersedia.</t>
        </is>
      </c>
      <c r="E22" s="23" t="inlineStr">
        <is>
          <t>1. Buka A-B
2. ketik draft
3. pindah A-C
4. kirim pesan penanda dan buka kedua chat.</t>
        </is>
      </c>
      <c r="F22" s="23" t="inlineStr">
        <is>
          <t>Akun QA A/B sebagai peserta dan C nonpeserta; conversation ID, listing/post ID fixture; teks pesan penanda unik per percobaan.</t>
        </is>
      </c>
      <c r="G22" s="23" t="inlineStr">
        <is>
          <t>Pesan penanda hanya tersimpan pada percakapan tujuan aktif; draft dan histori tidak tercampur antar peserta.</t>
        </is>
      </c>
      <c r="H22" s="23" t="inlineStr">
        <is>
          <t>Pesan hanya tersimpan pada percakapan dan pengirim yang benar. Nonpeserta tidak membaca/mengirim; DM tidak memfinalkan transaksi.</t>
        </is>
      </c>
      <c r="I22" s="24" t="n"/>
      <c r="J22"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22">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22"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tabColor rgb="FF3E5F91"/>
    <outlinePr summaryBelow="1" summaryRight="1"/>
    <pageSetUpPr/>
  </sheetPr>
  <dimension ref="A1:J19"/>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TS-09  Checkout marketplace</t>
        </is>
      </c>
    </row>
    <row r="3" ht="20" customHeight="1">
      <c r="A3" s="5" t="inlineStr">
        <is>
          <t>TC-09-01 sampai TC-09-06  |  6 test case  |  Rancangan revisi 0.2</t>
        </is>
      </c>
    </row>
    <row r="4">
      <c r="A4" s="3" t="n"/>
      <c r="B4" s="3" t="n"/>
      <c r="C4" s="3" t="n"/>
      <c r="D4" s="3" t="n"/>
      <c r="E4" s="3" t="n"/>
      <c r="F4" s="3" t="n"/>
      <c r="G4" s="3" t="n"/>
      <c r="H4" s="3" t="n"/>
      <c r="I4" s="3" t="n"/>
      <c r="J4" s="3" t="n"/>
    </row>
    <row r="5" ht="23" customHeight="1">
      <c r="A5" s="7" t="inlineStr">
        <is>
          <t>Module Name</t>
        </is>
      </c>
      <c r="C5" s="3" t="inlineStr">
        <is>
          <t>Checkout marketplace</t>
        </is>
      </c>
      <c r="G5" s="7" t="inlineStr">
        <is>
          <t>Scenario ID</t>
        </is>
      </c>
      <c r="I5" s="3" t="inlineStr">
        <is>
          <t>TS-09</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COUNTA(A14:A19)</f>
        <v/>
      </c>
      <c r="C11" s="13" t="inlineStr">
        <is>
          <t>Pass</t>
        </is>
      </c>
      <c r="D11" s="14">
        <f>COUNTIFS(J14:J19,"Pass")</f>
        <v/>
      </c>
      <c r="E11" s="13" t="inlineStr">
        <is>
          <t>Fail</t>
        </is>
      </c>
      <c r="F11" s="14">
        <f>COUNTIFS(J14:J19,"Fail")</f>
        <v/>
      </c>
      <c r="G11" s="13" t="inlineStr">
        <is>
          <t>Blocked</t>
        </is>
      </c>
      <c r="H11" s="14">
        <f>COUNTIFS(J14:J19,"Blocked")</f>
        <v/>
      </c>
      <c r="I11" s="13" t="inlineStr">
        <is>
          <t>Not Run</t>
        </is>
      </c>
      <c r="J11" s="14">
        <f>COUNTIFS(J14:J19,"Not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TC-09-01</t>
        </is>
      </c>
      <c r="B14" s="23" t="inlineStr">
        <is>
          <t>TS-09
Checkout marketplace</t>
        </is>
      </c>
      <c r="C14" s="23" t="inlineStr">
        <is>
          <t>Checkout valid
Prioritas: P1
Desain: Review</t>
        </is>
      </c>
      <c r="D14" s="23" t="inlineStr">
        <is>
          <t>Listing aktif; Buyer dan Seller berbeda; payout Seller valid; tabel fee yang disahkan tersedia.</t>
        </is>
      </c>
      <c r="E14" s="23" t="inlineStr">
        <is>
          <t>1. Pilih listing aktif Rp1.000.000.
2. Periksa harga dan fee Rp10.000.
3. Setujui sekali.</t>
        </is>
      </c>
      <c r="F14" s="23" t="inlineStr">
        <is>
          <t>Buyer QA A dan Seller B; listing aktif, tujuan payout valid/tidak tersedia; snapshot harga dan fee service.
Nilai khusus: Rp1.000.000.; Rp10.000..</t>
        </is>
      </c>
      <c r="G14" s="23" t="inlineStr">
        <is>
          <t>Agreement final dan satu transaksi WAITING_PAYMENT; Buyer total Rp1.010.000 dan Seller net Rp1.000.000 menurut alokasi Marketplace dalam dokumen sumber. Tanpa pilihan EX/INC dan tanpa persetujuan ulang Seller.</t>
        </is>
      </c>
      <c r="H14" s="23" t="inlineStr">
        <is>
          <t>Checkout sah membuat satu transaksi; batal/ilegal tidak memfinalkan. Nominal mengikuti snapshot server.</t>
        </is>
      </c>
      <c r="I14" s="24" t="n"/>
      <c r="J14" s="25" t="inlineStr">
        <is>
          <t>Not Run</t>
        </is>
      </c>
    </row>
    <row r="15" ht="100" customHeight="1">
      <c r="A15" s="22" t="inlineStr">
        <is>
          <t>TC-09-02</t>
        </is>
      </c>
      <c r="B15" s="23" t="inlineStr">
        <is>
          <t>TS-09
Checkout marketplace</t>
        </is>
      </c>
      <c r="C15" s="23" t="inlineStr">
        <is>
          <t>Buyer tidak setuju
Prioritas: P1
Desain: Review</t>
        </is>
      </c>
      <c r="D15" s="23" t="inlineStr">
        <is>
          <t>Listing aktif; Buyer dan Seller berbeda; payout Seller valid; tabel fee yang disahkan tersedia.</t>
        </is>
      </c>
      <c r="E15" s="23" t="inlineStr">
        <is>
          <t>1. Buka ringkasan lalu batalkan sebelum menyetujui.</t>
        </is>
      </c>
      <c r="F15" s="23" t="inlineStr">
        <is>
          <t>Buyer QA A dan Seller B; listing aktif, tujuan payout valid/tidak tersedia; snapshot harga dan fee service.</t>
        </is>
      </c>
      <c r="G15" s="23" t="inlineStr">
        <is>
          <t>Tidak terbentuk transaksi final.</t>
        </is>
      </c>
      <c r="H15" s="23" t="inlineStr">
        <is>
          <t>Checkout sah membuat satu transaksi; batal/ilegal tidak memfinalkan. Nominal mengikuti snapshot server.</t>
        </is>
      </c>
      <c r="I15" s="24" t="n"/>
      <c r="J15" s="25" t="inlineStr">
        <is>
          <t>Not Run</t>
        </is>
      </c>
    </row>
    <row r="16" ht="100" customHeight="1">
      <c r="A16" s="22" t="inlineStr">
        <is>
          <t>TC-09-03</t>
        </is>
      </c>
      <c r="B16" s="23" t="inlineStr">
        <is>
          <t>TS-09
Checkout marketplace</t>
        </is>
      </c>
      <c r="C16" s="23" t="inlineStr">
        <is>
          <t>Listing berubah
Prioritas: P1
Desain: Review</t>
        </is>
      </c>
      <c r="D16" s="23" t="inlineStr">
        <is>
          <t>Listing aktif; Buyer dan Seller berbeda; payout Seller valid; tabel fee yang disahkan tersedia.</t>
        </is>
      </c>
      <c r="E16" s="23" t="inlineStr">
        <is>
          <t>1. Buka checkout
2. Seller ubah/nonaktifkan listing sebelum persetujuan Buyer.</t>
        </is>
      </c>
      <c r="F16" s="23" t="inlineStr">
        <is>
          <t>Buyer QA A dan Seller B; listing aktif, tujuan payout valid/tidak tersedia; snapshot harga dan fee service.</t>
        </is>
      </c>
      <c r="G16" s="23" t="inlineStr">
        <is>
          <t>Validasi ulang; minta persetujuan rincian terbaru atau tolak; tidak diam-diam finalkan harga lama.</t>
        </is>
      </c>
      <c r="H16" s="23" t="inlineStr">
        <is>
          <t>Checkout sah membuat satu transaksi; batal/ilegal tidak memfinalkan. Nominal mengikuti snapshot server.</t>
        </is>
      </c>
      <c r="I16" s="24" t="n"/>
      <c r="J16" s="25" t="inlineStr">
        <is>
          <t>Not Run</t>
        </is>
      </c>
    </row>
    <row r="17" ht="100" customHeight="1">
      <c r="A17" s="22" t="inlineStr">
        <is>
          <t>TC-09-04</t>
        </is>
      </c>
      <c r="B17" s="23" t="inlineStr">
        <is>
          <t>TS-09
Checkout marketplace</t>
        </is>
      </c>
      <c r="C17" s="23" t="inlineStr">
        <is>
          <t>Transaksi diri sendiri
Prioritas: P1
Desain: Review</t>
        </is>
      </c>
      <c r="D17" s="23" t="inlineStr">
        <is>
          <t>Listing aktif; Buyer dan Seller berbeda; payout Seller valid; tabel fee yang disahkan tersedia.</t>
        </is>
      </c>
      <c r="E17" s="23" t="inlineStr">
        <is>
          <t>1. Pemilik listing mencoba membeli listing sendiri.</t>
        </is>
      </c>
      <c r="F17" s="23" t="inlineStr">
        <is>
          <t>Buyer QA A dan Seller B; listing aktif, tujuan payout valid/tidak tersedia; snapshot harga dan fee service.</t>
        </is>
      </c>
      <c r="G17" s="23" t="inlineStr">
        <is>
          <t>Ditolak; Buyer dan Seller berbeda.</t>
        </is>
      </c>
      <c r="H17" s="23" t="inlineStr">
        <is>
          <t>Checkout sah membuat satu transaksi; batal/ilegal tidak memfinalkan. Nominal mengikuti snapshot server.</t>
        </is>
      </c>
      <c r="I17" s="24" t="n"/>
      <c r="J17" s="25" t="inlineStr">
        <is>
          <t>Not Run</t>
        </is>
      </c>
    </row>
    <row r="18" ht="100" customHeight="1">
      <c r="A18" s="22" t="inlineStr">
        <is>
          <t>TC-09-05</t>
        </is>
      </c>
      <c r="B18" s="23" t="inlineStr">
        <is>
          <t>TS-09
Checkout marketplace</t>
        </is>
      </c>
      <c r="C18" s="23" t="inlineStr">
        <is>
          <t>Checkout berulang
Prioritas: P1
Desain: Review</t>
        </is>
      </c>
      <c r="D18" s="23" t="inlineStr">
        <is>
          <t>Listing aktif; Buyer dan Seller berbeda; payout Seller valid; tabel fee yang disahkan tersedia.</t>
        </is>
      </c>
      <c r="E18" s="23" t="inlineStr">
        <is>
          <t>1. Kirim ulang request sama/double-click.</t>
        </is>
      </c>
      <c r="F18" s="23" t="inlineStr">
        <is>
          <t>Buyer QA A dan Seller B; listing aktif, tujuan payout valid/tidak tersedia; snapshot harga dan fee service.</t>
        </is>
      </c>
      <c r="G18" s="23" t="inlineStr">
        <is>
          <t>Pengulangan request sama tidak menggandakan transaksi; pembelian baru disengaja dibedakan.</t>
        </is>
      </c>
      <c r="H18" s="23" t="inlineStr">
        <is>
          <t>Checkout sah membuat satu transaksi; batal/ilegal tidak memfinalkan. Nominal mengikuti snapshot server.</t>
        </is>
      </c>
      <c r="I18" s="24" t="n"/>
      <c r="J18" s="25" t="inlineStr">
        <is>
          <t>Not Run</t>
        </is>
      </c>
    </row>
    <row r="19" ht="100" customHeight="1">
      <c r="A19" s="22" t="inlineStr">
        <is>
          <t>TC-09-06</t>
        </is>
      </c>
      <c r="B19" s="23" t="inlineStr">
        <is>
          <t>TS-09
Checkout marketplace</t>
        </is>
      </c>
      <c r="C19" s="23" t="inlineStr">
        <is>
          <t>Payout belum tersedia
Prioritas: P1
Desain: Review</t>
        </is>
      </c>
      <c r="D19" s="23" t="inlineStr">
        <is>
          <t>Listing aktif; Buyer dan Seller berbeda; payout Seller valid; tabel fee yang disahkan tersedia.</t>
        </is>
      </c>
      <c r="E19" s="23" t="inlineStr">
        <is>
          <t>1. Coba bayar tanpa tujuan payout Seller valid.</t>
        </is>
      </c>
      <c r="F19" s="23" t="inlineStr">
        <is>
          <t>Buyer QA A dan Seller B; listing aktif, tujuan payout valid/tidak tersedia; snapshot harga dan fee service.</t>
        </is>
      </c>
      <c r="G19" s="23" t="inlineStr">
        <is>
          <t>Pembayaran belum diizinkan; kekurangan tujuan dijelaskan.</t>
        </is>
      </c>
      <c r="H19" s="23" t="inlineStr">
        <is>
          <t>Checkout sah membuat satu transaksi; batal/ilegal tidak memfinalkan. Nominal mengikuti snapshot server.</t>
        </is>
      </c>
      <c r="I19" s="24" t="n"/>
      <c r="J19"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9">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9"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FF3E5F91"/>
    <outlinePr summaryBelow="1" summaryRight="1"/>
    <pageSetUpPr/>
  </sheetPr>
  <dimension ref="A1:J18"/>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TS-10  Draft dan revisi forum</t>
        </is>
      </c>
    </row>
    <row r="3" ht="20" customHeight="1">
      <c r="A3" s="5" t="inlineStr">
        <is>
          <t>TC-10-01 sampai TC-10-05  |  5 test case  |  Rancangan revisi 0.2</t>
        </is>
      </c>
    </row>
    <row r="4">
      <c r="A4" s="3" t="n"/>
      <c r="B4" s="3" t="n"/>
      <c r="C4" s="3" t="n"/>
      <c r="D4" s="3" t="n"/>
      <c r="E4" s="3" t="n"/>
      <c r="F4" s="3" t="n"/>
      <c r="G4" s="3" t="n"/>
      <c r="H4" s="3" t="n"/>
      <c r="I4" s="3" t="n"/>
      <c r="J4" s="3" t="n"/>
    </row>
    <row r="5" ht="23" customHeight="1">
      <c r="A5" s="7" t="inlineStr">
        <is>
          <t>Module Name</t>
        </is>
      </c>
      <c r="C5" s="3" t="inlineStr">
        <is>
          <t>Draft dan revisi forum</t>
        </is>
      </c>
      <c r="G5" s="7" t="inlineStr">
        <is>
          <t>Scenario ID</t>
        </is>
      </c>
      <c r="I5" s="3" t="inlineStr">
        <is>
          <t>TS-10</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COUNTA(A14:A18)</f>
        <v/>
      </c>
      <c r="C11" s="13" t="inlineStr">
        <is>
          <t>Pass</t>
        </is>
      </c>
      <c r="D11" s="14">
        <f>COUNTIFS(J14:J18,"Pass")</f>
        <v/>
      </c>
      <c r="E11" s="13" t="inlineStr">
        <is>
          <t>Fail</t>
        </is>
      </c>
      <c r="F11" s="14">
        <f>COUNTIFS(J14:J18,"Fail")</f>
        <v/>
      </c>
      <c r="G11" s="13" t="inlineStr">
        <is>
          <t>Blocked</t>
        </is>
      </c>
      <c r="H11" s="14">
        <f>COUNTIFS(J14:J18,"Blocked")</f>
        <v/>
      </c>
      <c r="I11" s="13" t="inlineStr">
        <is>
          <t>Not Run</t>
        </is>
      </c>
      <c r="J11" s="14">
        <f>COUNTIFS(J14:J18,"Not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TC-10-01</t>
        </is>
      </c>
      <c r="B14" s="23" t="inlineStr">
        <is>
          <t>TS-10
Draft dan revisi forum</t>
        </is>
      </c>
      <c r="C14" s="23" t="inlineStr">
        <is>
          <t>Draft valid
Prioritas: P1
Desain: Review</t>
        </is>
      </c>
      <c r="D14" s="23" t="inlineStr">
        <is>
          <t>Dua pihak berbeda memiliki konteks forum/DM; sheet belum final.</t>
        </is>
      </c>
      <c r="E14" s="23" t="inlineStr">
        <is>
          <t>1. Isi pihak, item/varian, quantity, harga total, fee type, metode/durasi penyerahan.</t>
        </is>
      </c>
      <c r="F14" s="23" t="inlineStr">
        <is>
          <t>Dua pihak QA berbeda; posting/DM; item/varian, quantity, base_price total, mode EX/INC dan revisi draft fixture.</t>
        </is>
      </c>
      <c r="G14" s="23" t="inlineStr">
        <is>
          <t>Draft revisi awal terbentuk; belum dapat dibayar.</t>
        </is>
      </c>
      <c r="H14" s="23" t="inlineStr">
        <is>
          <t>Draft/revisi sesuai hasil; revisi lama tidak dianggap disetujui. Agreement final tetap terkunci.</t>
        </is>
      </c>
      <c r="I14" s="24" t="n"/>
      <c r="J14" s="25" t="inlineStr">
        <is>
          <t>Not Run</t>
        </is>
      </c>
    </row>
    <row r="15" ht="100" customHeight="1">
      <c r="A15" s="22" t="inlineStr">
        <is>
          <t>TC-10-02</t>
        </is>
      </c>
      <c r="B15" s="23" t="inlineStr">
        <is>
          <t>TS-10
Draft dan revisi forum</t>
        </is>
      </c>
      <c r="C15" s="23" t="inlineStr">
        <is>
          <t>Draft tidak valid
Prioritas: P1
Desain: Review</t>
        </is>
      </c>
      <c r="D15" s="23" t="inlineStr">
        <is>
          <t>Dua pihak berbeda memiliki konteks forum/DM; sheet belum final.</t>
        </is>
      </c>
      <c r="E15" s="23" t="inlineStr">
        <is>
          <t>1. Uji pihak sama, wajib kosong, quantity/durasi tidak positif, harga tidak sah.</t>
        </is>
      </c>
      <c r="F15" s="23" t="inlineStr">
        <is>
          <t>Dua pihak QA berbeda; posting/DM; item/varian, quantity, base_price total, mode EX/INC dan revisi draft fixture.</t>
        </is>
      </c>
      <c r="G15" s="23" t="inlineStr">
        <is>
          <t>Ditolak tanpa draft tidak konsisten.</t>
        </is>
      </c>
      <c r="H15" s="23" t="inlineStr">
        <is>
          <t>Draft/revisi sesuai hasil; revisi lama tidak dianggap disetujui. Agreement final tetap terkunci.</t>
        </is>
      </c>
      <c r="I15" s="24" t="n"/>
      <c r="J15" s="25" t="inlineStr">
        <is>
          <t>Not Run</t>
        </is>
      </c>
    </row>
    <row r="16" ht="100" customHeight="1">
      <c r="A16" s="22" t="inlineStr">
        <is>
          <t>TC-10-03</t>
        </is>
      </c>
      <c r="B16" s="23" t="inlineStr">
        <is>
          <t>TS-10
Draft dan revisi forum</t>
        </is>
      </c>
      <c r="C16" s="23" t="inlineStr">
        <is>
          <t>Revisi draft
Prioritas: P1
Desain: Review</t>
        </is>
      </c>
      <c r="D16" s="23" t="inlineStr">
        <is>
          <t>Dua pihak berbeda memiliki konteks forum/DM; sheet belum final.</t>
        </is>
      </c>
      <c r="E16" s="23" t="inlineStr">
        <is>
          <t>1. Setelah satu pihak setuju, ubah harga/rincian.</t>
        </is>
      </c>
      <c r="F16" s="23" t="inlineStr">
        <is>
          <t>Dua pihak QA berbeda; posting/DM; item/varian, quantity, base_price total, mode EX/INC dan revisi draft fixture.</t>
        </is>
      </c>
      <c r="G16" s="23" t="inlineStr">
        <is>
          <t>revision_no naik; persetujuan lama dibatalkan; perlu persetujuan revisi baru.</t>
        </is>
      </c>
      <c r="H16" s="23" t="inlineStr">
        <is>
          <t>Draft/revisi sesuai hasil; revisi lama tidak dianggap disetujui. Agreement final tetap terkunci.</t>
        </is>
      </c>
      <c r="I16" s="24" t="n"/>
      <c r="J16" s="25" t="inlineStr">
        <is>
          <t>Not Run</t>
        </is>
      </c>
    </row>
    <row r="17" ht="100" customHeight="1">
      <c r="A17" s="22" t="inlineStr">
        <is>
          <t>TC-10-04</t>
        </is>
      </c>
      <c r="B17" s="23" t="inlineStr">
        <is>
          <t>TS-10
Draft dan revisi forum</t>
        </is>
      </c>
      <c r="C17" s="23" t="inlineStr">
        <is>
          <t>Revisi final
Prioritas: P1
Desain: Review</t>
        </is>
      </c>
      <c r="D17" s="23" t="inlineStr">
        <is>
          <t>Dua pihak berbeda memiliki konteks forum/DM; sheet belum final.</t>
        </is>
      </c>
      <c r="E17" s="23" t="inlineStr">
        <is>
          <t>1. Coba ubah agreement final.</t>
        </is>
      </c>
      <c r="F17" s="23" t="inlineStr">
        <is>
          <t>Dua pihak QA berbeda; posting/DM; item/varian, quantity, base_price total, mode EX/INC dan revisi draft fixture.</t>
        </is>
      </c>
      <c r="G17" s="23" t="inlineStr">
        <is>
          <t>Rincian terkunci; snapshot tidak berubah.</t>
        </is>
      </c>
      <c r="H17" s="23" t="inlineStr">
        <is>
          <t>Draft/revisi sesuai hasil; revisi lama tidak dianggap disetujui. Agreement final tetap terkunci.</t>
        </is>
      </c>
      <c r="I17" s="24" t="n"/>
      <c r="J17" s="25" t="inlineStr">
        <is>
          <t>Not Run</t>
        </is>
      </c>
    </row>
    <row r="18" ht="100" customHeight="1">
      <c r="A18" s="22" t="inlineStr">
        <is>
          <t>TC-10-05</t>
        </is>
      </c>
      <c r="B18" s="23" t="inlineStr">
        <is>
          <t>TS-10
Draft dan revisi forum</t>
        </is>
      </c>
      <c r="C18" s="23" t="inlineStr">
        <is>
          <t>Harga total dan quantity
Prioritas: P1
Desain: Review</t>
        </is>
      </c>
      <c r="D18" s="23" t="inlineStr">
        <is>
          <t>Dua pihak berbeda memiliki konteks forum/DM; sheet belum final.</t>
        </is>
      </c>
      <c r="E18" s="23" t="inlineStr">
        <is>
          <t>1. Gunakan quantity 2 dan base_price total Rp100.000.</t>
        </is>
      </c>
      <c r="F18" s="23" t="inlineStr">
        <is>
          <t>Dua pihak QA berbeda; posting/DM; item/varian, quantity, base_price total, mode EX/INC dan revisi draft fixture.
Nilai khusus: Rp100.000..</t>
        </is>
      </c>
      <c r="G18" s="23" t="inlineStr">
        <is>
          <t>Harga dasar tetap Rp100.000; tidak dikalikan menjadi Rp200.000.</t>
        </is>
      </c>
      <c r="H18" s="23" t="inlineStr">
        <is>
          <t>Draft/revisi sesuai hasil; revisi lama tidak dianggap disetujui. Agreement final tetap terkunci.</t>
        </is>
      </c>
      <c r="I18" s="24" t="n"/>
      <c r="J18"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8">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8"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FF3E5F91"/>
    <outlinePr summaryBelow="1" summaryRight="1"/>
    <pageSetUpPr/>
  </sheetPr>
  <dimension ref="A1:J18"/>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TS-11  Persetujuan kesepakatan</t>
        </is>
      </c>
    </row>
    <row r="3" ht="20" customHeight="1">
      <c r="A3" s="5" t="inlineStr">
        <is>
          <t>TC-11-01 sampai TC-11-05  |  5 test case  |  Rancangan revisi 0.2</t>
        </is>
      </c>
    </row>
    <row r="4">
      <c r="A4" s="3" t="n"/>
      <c r="B4" s="3" t="n"/>
      <c r="C4" s="3" t="n"/>
      <c r="D4" s="3" t="n"/>
      <c r="E4" s="3" t="n"/>
      <c r="F4" s="3" t="n"/>
      <c r="G4" s="3" t="n"/>
      <c r="H4" s="3" t="n"/>
      <c r="I4" s="3" t="n"/>
      <c r="J4" s="3" t="n"/>
    </row>
    <row r="5" ht="23" customHeight="1">
      <c r="A5" s="7" t="inlineStr">
        <is>
          <t>Module Name</t>
        </is>
      </c>
      <c r="C5" s="3" t="inlineStr">
        <is>
          <t>Persetujuan kesepakatan</t>
        </is>
      </c>
      <c r="G5" s="7" t="inlineStr">
        <is>
          <t>Scenario ID</t>
        </is>
      </c>
      <c r="I5" s="3" t="inlineStr">
        <is>
          <t>TS-11</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COUNTA(A14:A18)</f>
        <v/>
      </c>
      <c r="C11" s="13" t="inlineStr">
        <is>
          <t>Pass</t>
        </is>
      </c>
      <c r="D11" s="14">
        <f>COUNTIFS(J14:J18,"Pass")</f>
        <v/>
      </c>
      <c r="E11" s="13" t="inlineStr">
        <is>
          <t>Fail</t>
        </is>
      </c>
      <c r="F11" s="14">
        <f>COUNTIFS(J14:J18,"Fail")</f>
        <v/>
      </c>
      <c r="G11" s="13" t="inlineStr">
        <is>
          <t>Blocked</t>
        </is>
      </c>
      <c r="H11" s="14">
        <f>COUNTIFS(J14:J18,"Blocked")</f>
        <v/>
      </c>
      <c r="I11" s="13" t="inlineStr">
        <is>
          <t>Not Run</t>
        </is>
      </c>
      <c r="J11" s="14">
        <f>COUNTIFS(J14:J18,"Not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TC-11-01</t>
        </is>
      </c>
      <c r="B14" s="23" t="inlineStr">
        <is>
          <t>TS-11
Persetujuan kesepakatan</t>
        </is>
      </c>
      <c r="C14" s="23" t="inlineStr">
        <is>
          <t>Persetujuan kedua pihak
Prioritas: P1
Desain: Review</t>
        </is>
      </c>
      <c r="D14" s="23" t="inlineStr">
        <is>
          <t>Draft valid tersedia; kedua pihak ditentukan.</t>
        </is>
      </c>
      <c r="E14" s="23" t="inlineStr">
        <is>
          <t>1. Buyer/Seller menyetujui revisi sama
2. tujuan payout valid.</t>
        </is>
      </c>
      <c r="F14" s="23" t="inlineStr">
        <is>
          <t>Buyer/Seller QA, nonpeserta C; draft revisi 1 dan 2; tujuan payout sah; persetujuan tiap pihak.</t>
        </is>
      </c>
      <c r="G14" s="23" t="inlineStr">
        <is>
          <t>Agreement final; satu transaksi terbentuk.</t>
        </is>
      </c>
      <c r="H14" s="23" t="inlineStr">
        <is>
          <t>Agreement final hanya untuk persetujuan revisi yang sama; nonpeserta/request ulang tidak membuat transaksi ganda.</t>
        </is>
      </c>
      <c r="I14" s="24" t="n"/>
      <c r="J14" s="25" t="inlineStr">
        <is>
          <t>Not Run</t>
        </is>
      </c>
    </row>
    <row r="15" ht="100" customHeight="1">
      <c r="A15" s="22" t="inlineStr">
        <is>
          <t>TC-11-02</t>
        </is>
      </c>
      <c r="B15" s="23" t="inlineStr">
        <is>
          <t>TS-11
Persetujuan kesepakatan</t>
        </is>
      </c>
      <c r="C15" s="23" t="inlineStr">
        <is>
          <t>Satu pihak setuju
Prioritas: P1
Desain: Review</t>
        </is>
      </c>
      <c r="D15" s="23" t="inlineStr">
        <is>
          <t>Draft valid tersedia; kedua pihak ditentukan.</t>
        </is>
      </c>
      <c r="E15" s="23" t="inlineStr">
        <is>
          <t>1. Hanya Buyer atau Seller menyetujui.</t>
        </is>
      </c>
      <c r="F15" s="23" t="inlineStr">
        <is>
          <t>Buyer/Seller QA, nonpeserta C; draft revisi 1 dan 2; tujuan payout sah; persetujuan tiap pihak.</t>
        </is>
      </c>
      <c r="G15" s="23" t="inlineStr">
        <is>
          <t>Belum final; belum dapat dibayar.</t>
        </is>
      </c>
      <c r="H15" s="23" t="inlineStr">
        <is>
          <t>Agreement final hanya untuk persetujuan revisi yang sama; nonpeserta/request ulang tidak membuat transaksi ganda.</t>
        </is>
      </c>
      <c r="I15" s="24" t="n"/>
      <c r="J15" s="25" t="inlineStr">
        <is>
          <t>Not Run</t>
        </is>
      </c>
    </row>
    <row r="16" ht="100" customHeight="1">
      <c r="A16" s="22" t="inlineStr">
        <is>
          <t>TC-11-03</t>
        </is>
      </c>
      <c r="B16" s="23" t="inlineStr">
        <is>
          <t>TS-11
Persetujuan kesepakatan</t>
        </is>
      </c>
      <c r="C16" s="23" t="inlineStr">
        <is>
          <t>Penolakan
Prioritas: P1
Desain: Review</t>
        </is>
      </c>
      <c r="D16" s="23" t="inlineStr">
        <is>
          <t>Draft valid tersedia; kedua pihak ditentukan.</t>
        </is>
      </c>
      <c r="E16" s="23" t="inlineStr">
        <is>
          <t>1. Salah satu pihak menolak dan mengisi alasan sesuai form.</t>
        </is>
      </c>
      <c r="F16" s="23" t="inlineStr">
        <is>
          <t>Buyer/Seller QA, nonpeserta C; draft revisi 1 dan 2; tujuan payout sah; persetujuan tiap pihak.</t>
        </is>
      </c>
      <c r="G16" s="23" t="inlineStr">
        <is>
          <t>Status, penolak, waktu/alasan tercatat; transaksi berbayar tidak terbentuk.</t>
        </is>
      </c>
      <c r="H16" s="23" t="inlineStr">
        <is>
          <t>Agreement final hanya untuk persetujuan revisi yang sama; nonpeserta/request ulang tidak membuat transaksi ganda.</t>
        </is>
      </c>
      <c r="I16" s="24" t="n"/>
      <c r="J16" s="25" t="inlineStr">
        <is>
          <t>Not Run</t>
        </is>
      </c>
    </row>
    <row r="17" ht="100" customHeight="1">
      <c r="A17" s="22" t="inlineStr">
        <is>
          <t>TC-11-04</t>
        </is>
      </c>
      <c r="B17" s="23" t="inlineStr">
        <is>
          <t>TS-11
Persetujuan kesepakatan</t>
        </is>
      </c>
      <c r="C17" s="23" t="inlineStr">
        <is>
          <t>Revisi lama
Prioritas: P1
Desain: Review</t>
        </is>
      </c>
      <c r="D17" s="23" t="inlineStr">
        <is>
          <t>Draft valid tersedia; kedua pihak ditentukan.</t>
        </is>
      </c>
      <c r="E17" s="23" t="inlineStr">
        <is>
          <t>1. Buka revisi 1
2. revisi ke 2
3. kirim persetujuan revisi 1.</t>
        </is>
      </c>
      <c r="F17" s="23" t="inlineStr">
        <is>
          <t>Buyer/Seller QA, nonpeserta C; draft revisi 1 dan 2; tujuan payout sah; persetujuan tiap pihak.</t>
        </is>
      </c>
      <c r="G17" s="23" t="inlineStr">
        <is>
          <t>Persetujuan stale ditolak; revisi 2 tidak dianggap disetujui.</t>
        </is>
      </c>
      <c r="H17" s="23" t="inlineStr">
        <is>
          <t>Agreement final hanya untuk persetujuan revisi yang sama; nonpeserta/request ulang tidak membuat transaksi ganda.</t>
        </is>
      </c>
      <c r="I17" s="24" t="n"/>
      <c r="J17" s="25" t="inlineStr">
        <is>
          <t>Not Run</t>
        </is>
      </c>
    </row>
    <row r="18" ht="100" customHeight="1">
      <c r="A18" s="22" t="inlineStr">
        <is>
          <t>TC-11-05</t>
        </is>
      </c>
      <c r="B18" s="23" t="inlineStr">
        <is>
          <t>TS-11
Persetujuan kesepakatan</t>
        </is>
      </c>
      <c r="C18" s="23" t="inlineStr">
        <is>
          <t>Ilegal atau berulang
Prioritas: P1
Desain: Review</t>
        </is>
      </c>
      <c r="D18" s="23" t="inlineStr">
        <is>
          <t>Draft valid tersedia; kedua pihak ditentukan.</t>
        </is>
      </c>
      <c r="E18" s="23" t="inlineStr">
        <is>
          <t>1. Nonpeserta menyetujui
2. pihak sah mengirim ulang persetujuan.</t>
        </is>
      </c>
      <c r="F18" s="23" t="inlineStr">
        <is>
          <t>Buyer/Seller QA, nonpeserta C; draft revisi 1 dan 2; tujuan payout sah; persetujuan tiap pihak.</t>
        </is>
      </c>
      <c r="G18" s="23" t="inlineStr">
        <is>
          <t>Nonpeserta ditolak; request ulang tidak membuat transaksi ganda.</t>
        </is>
      </c>
      <c r="H18" s="23" t="inlineStr">
        <is>
          <t>Agreement final hanya untuk persetujuan revisi yang sama; nonpeserta/request ulang tidak membuat transaksi ganda.</t>
        </is>
      </c>
      <c r="I18" s="24" t="n"/>
      <c r="J18"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8">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8"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tabColor rgb="FF3E5F91"/>
    <outlinePr summaryBelow="1" summaryRight="1"/>
    <pageSetUpPr/>
  </sheetPr>
  <dimension ref="A1:J18"/>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TS-12  Rincian agreement dan fee</t>
        </is>
      </c>
    </row>
    <row r="3" ht="20" customHeight="1">
      <c r="A3" s="5" t="inlineStr">
        <is>
          <t>TC-12-01 sampai TC-12-05  |  5 test case  |  Rancangan revisi 0.2</t>
        </is>
      </c>
    </row>
    <row r="4">
      <c r="A4" s="3" t="n"/>
      <c r="B4" s="3" t="n"/>
      <c r="C4" s="3" t="n"/>
      <c r="D4" s="3" t="n"/>
      <c r="E4" s="3" t="n"/>
      <c r="F4" s="3" t="n"/>
      <c r="G4" s="3" t="n"/>
      <c r="H4" s="3" t="n"/>
      <c r="I4" s="3" t="n"/>
      <c r="J4" s="3" t="n"/>
    </row>
    <row r="5" ht="23" customHeight="1">
      <c r="A5" s="7" t="inlineStr">
        <is>
          <t>Module Name</t>
        </is>
      </c>
      <c r="C5" s="3" t="inlineStr">
        <is>
          <t>Rincian agreement dan fee</t>
        </is>
      </c>
      <c r="G5" s="7" t="inlineStr">
        <is>
          <t>Scenario ID</t>
        </is>
      </c>
      <c r="I5" s="3" t="inlineStr">
        <is>
          <t>TS-12</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COUNTA(A14:A18)</f>
        <v/>
      </c>
      <c r="C11" s="13" t="inlineStr">
        <is>
          <t>Pass</t>
        </is>
      </c>
      <c r="D11" s="14">
        <f>COUNTIFS(J14:J18,"Pass")</f>
        <v/>
      </c>
      <c r="E11" s="13" t="inlineStr">
        <is>
          <t>Fail</t>
        </is>
      </c>
      <c r="F11" s="14">
        <f>COUNTIFS(J14:J18,"Fail")</f>
        <v/>
      </c>
      <c r="G11" s="13" t="inlineStr">
        <is>
          <t>Blocked</t>
        </is>
      </c>
      <c r="H11" s="14">
        <f>COUNTIFS(J14:J18,"Blocked")</f>
        <v/>
      </c>
      <c r="I11" s="13" t="inlineStr">
        <is>
          <t>Not Run</t>
        </is>
      </c>
      <c r="J11" s="14">
        <f>COUNTIFS(J14:J18,"Not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TC-12-01</t>
        </is>
      </c>
      <c r="B14" s="23" t="inlineStr">
        <is>
          <t>TS-12
Rincian agreement dan fee</t>
        </is>
      </c>
      <c r="C14" s="23" t="inlineStr">
        <is>
          <t>Kelengkapan rincian
Prioritas: P1
Desain: Review</t>
        </is>
      </c>
      <c r="D14" s="23" t="inlineStr">
        <is>
          <t>Draft dan final tersedia. Harga dasar Rp1.000.000; fee Rp10.000 sebagai nilai aturan yang sudah dicatat.</t>
        </is>
      </c>
      <c r="E14" s="23" t="inlineStr">
        <is>
          <t>1. Buka agreement sebagai Buyer/Seller.</t>
        </is>
      </c>
      <c r="F14" s="23" t="inlineStr">
        <is>
          <t>Harga dasar Rp1.000.000 dan fee Rp10.000; Marketplace fixed, Forum EX/INC; agreement draft/final dan akun nonpihak.</t>
        </is>
      </c>
      <c r="G14" s="23" t="inlineStr">
        <is>
          <t>Pihak, item, varian, revisi/persetujuan, harga, fee, nominal, metode/durasi sesuai data.</t>
        </is>
      </c>
      <c r="H14" s="23" t="inlineStr">
        <is>
          <t>Rincian dan nominal mengikuti snapshot; perubahan sumber tidak mengubah agreement final; data privat tidak bocor.</t>
        </is>
      </c>
      <c r="I14" s="24" t="n"/>
      <c r="J14" s="25" t="inlineStr">
        <is>
          <t>Not Run</t>
        </is>
      </c>
    </row>
    <row r="15" ht="100" customHeight="1">
      <c r="A15" s="22" t="inlineStr">
        <is>
          <t>TC-12-02</t>
        </is>
      </c>
      <c r="B15" s="23" t="inlineStr">
        <is>
          <t>TS-12
Rincian agreement dan fee</t>
        </is>
      </c>
      <c r="C15" s="23" t="inlineStr">
        <is>
          <t>Marketplace fixed dan Forum EX
Prioritas: P1
Desain: Review</t>
        </is>
      </c>
      <c r="D15" s="23" t="inlineStr">
        <is>
          <t>Draft dan final tersedia. Harga dasar Rp1.000.000; fee Rp10.000 sebagai nilai aturan yang sudah dicatat.</t>
        </is>
      </c>
      <c r="E15" s="23" t="inlineStr">
        <is>
          <t>1. Gunakan harga dasar Rp1.000.000 dan fee Rp10.000 pada transaksi terpisah.</t>
        </is>
      </c>
      <c r="F15" s="23" t="inlineStr">
        <is>
          <t>Harga dasar Rp1.000.000 dan fee Rp10.000; Marketplace fixed, Forum EX/INC; agreement draft/final dan akun nonpihak.
Nilai khusus: Rp1.000.000; Rp10.000.</t>
        </is>
      </c>
      <c r="G15" s="23" t="inlineStr">
        <is>
          <t>Keduanya menampilkan Buyer total Rp1.010.000 dan Seller net Rp1.000.000; Marketplace tidak menampilkan pilihan EX/INC. Forum mencatat EX pada snapshot.</t>
        </is>
      </c>
      <c r="H15" s="23" t="inlineStr">
        <is>
          <t>Rincian dan nominal mengikuti snapshot; perubahan sumber tidak mengubah agreement final; data privat tidak bocor.</t>
        </is>
      </c>
      <c r="I15" s="24" t="n"/>
      <c r="J15" s="25" t="inlineStr">
        <is>
          <t>Not Run</t>
        </is>
      </c>
    </row>
    <row r="16" ht="100" customHeight="1">
      <c r="A16" s="22" t="inlineStr">
        <is>
          <t>TC-12-03</t>
        </is>
      </c>
      <c r="B16" s="23" t="inlineStr">
        <is>
          <t>TS-12
Rincian agreement dan fee</t>
        </is>
      </c>
      <c r="C16" s="23" t="inlineStr">
        <is>
          <t>Forum INC
Prioritas: P1
Desain: Review</t>
        </is>
      </c>
      <c r="D16" s="23" t="inlineStr">
        <is>
          <t>Draft dan final tersedia. Harga dasar Rp1.000.000; fee Rp10.000 sebagai nilai aturan yang sudah dicatat.</t>
        </is>
      </c>
      <c r="E16" s="23" t="inlineStr">
        <is>
          <t>1. Gunakan harga dasar Rp1.000.000 dan fee Rp10.000
2. finalkan kesepakatan kedua pihak.</t>
        </is>
      </c>
      <c r="F16" s="23" t="inlineStr">
        <is>
          <t>Harga dasar Rp1.000.000 dan fee Rp10.000; Marketplace fixed, Forum EX/INC; agreement draft/final dan akun nonpihak.
Nilai khusus: Rp1.000.000; Rp10.000.</t>
        </is>
      </c>
      <c r="G16" s="23" t="inlineStr">
        <is>
          <t>Buyer total Rp1.000.000; Seller net Rp990.000; mode INC tersimpan pada snapshot Forum.</t>
        </is>
      </c>
      <c r="H16" s="23" t="inlineStr">
        <is>
          <t>Rincian dan nominal mengikuti snapshot; perubahan sumber tidak mengubah agreement final; data privat tidak bocor.</t>
        </is>
      </c>
      <c r="I16" s="24" t="n"/>
      <c r="J16" s="25" t="inlineStr">
        <is>
          <t>Not Run</t>
        </is>
      </c>
    </row>
    <row r="17" ht="100" customHeight="1">
      <c r="A17" s="22" t="inlineStr">
        <is>
          <t>TC-12-04</t>
        </is>
      </c>
      <c r="B17" s="23" t="inlineStr">
        <is>
          <t>TS-12
Rincian agreement dan fee</t>
        </is>
      </c>
      <c r="C17" s="23" t="inlineStr">
        <is>
          <t>Snapshot tetap
Prioritas: P1
Desain: Review</t>
        </is>
      </c>
      <c r="D17" s="23" t="inlineStr">
        <is>
          <t>Draft dan final tersedia. Harga dasar Rp1.000.000; fee Rp10.000 sebagai nilai aturan yang sudah dicatat.</t>
        </is>
      </c>
      <c r="E17" s="23" t="inlineStr">
        <is>
          <t>1. Ubah listing/katalog/fee setelah agreement final.</t>
        </is>
      </c>
      <c r="F17" s="23" t="inlineStr">
        <is>
          <t>Harga dasar Rp1.000.000 dan fee Rp10.000; Marketplace fixed, Forum EX/INC; agreement draft/final dan akun nonpihak.</t>
        </is>
      </c>
      <c r="G17" s="23" t="inlineStr">
        <is>
          <t>Snapshot dan nominal lama tetap sama.</t>
        </is>
      </c>
      <c r="H17" s="23" t="inlineStr">
        <is>
          <t>Rincian dan nominal mengikuti snapshot; perubahan sumber tidak mengubah agreement final; data privat tidak bocor.</t>
        </is>
      </c>
      <c r="I17" s="24" t="n"/>
      <c r="J17" s="25" t="inlineStr">
        <is>
          <t>Not Run</t>
        </is>
      </c>
    </row>
    <row r="18" ht="100" customHeight="1">
      <c r="A18" s="22" t="inlineStr">
        <is>
          <t>TC-12-05</t>
        </is>
      </c>
      <c r="B18" s="23" t="inlineStr">
        <is>
          <t>TS-12
Rincian agreement dan fee</t>
        </is>
      </c>
      <c r="C18" s="23" t="inlineStr">
        <is>
          <t>Akses agreement
Prioritas: P1
Desain: Review</t>
        </is>
      </c>
      <c r="D18" s="23" t="inlineStr">
        <is>
          <t>Draft dan final tersedia. Harga dasar Rp1.000.000; fee Rp10.000 sebagai nilai aturan yang sudah dicatat.</t>
        </is>
      </c>
      <c r="E18" s="23" t="inlineStr">
        <is>
          <t>1. Nonpihak membuka ID agreement melalui URL/request.</t>
        </is>
      </c>
      <c r="F18" s="23" t="inlineStr">
        <is>
          <t>Harga dasar Rp1.000.000 dan fee Rp10.000; Marketplace fixed, Forum EX/INC; agreement draft/final dan akun nonpihak.</t>
        </is>
      </c>
      <c r="G18" s="23" t="inlineStr">
        <is>
          <t>Detail privat ditolak.</t>
        </is>
      </c>
      <c r="H18" s="23" t="inlineStr">
        <is>
          <t>Rincian dan nominal mengikuti snapshot; perubahan sumber tidak mengubah agreement final; data privat tidak bocor.</t>
        </is>
      </c>
      <c r="I18" s="24" t="n"/>
      <c r="J18"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8">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8"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tabColor rgb="FF3E5F91"/>
    <outlinePr summaryBelow="1" summaryRight="1"/>
    <pageSetUpPr/>
  </sheetPr>
  <dimension ref="A1:J23"/>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TS-13  Midtrans Sandbox</t>
        </is>
      </c>
    </row>
    <row r="3" ht="20" customHeight="1">
      <c r="A3" s="5" t="inlineStr">
        <is>
          <t>TC-13-01 sampai TC-13-10  |  10 test case  |  Rancangan revisi 0.2</t>
        </is>
      </c>
    </row>
    <row r="4">
      <c r="A4" s="3" t="n"/>
      <c r="B4" s="3" t="n"/>
      <c r="C4" s="3" t="n"/>
      <c r="D4" s="3" t="n"/>
      <c r="E4" s="3" t="n"/>
      <c r="F4" s="3" t="n"/>
      <c r="G4" s="3" t="n"/>
      <c r="H4" s="3" t="n"/>
      <c r="I4" s="3" t="n"/>
      <c r="J4" s="3" t="n"/>
    </row>
    <row r="5" ht="23" customHeight="1">
      <c r="A5" s="7" t="inlineStr">
        <is>
          <t>Module Name</t>
        </is>
      </c>
      <c r="C5" s="3" t="inlineStr">
        <is>
          <t>Midtrans Sandbox</t>
        </is>
      </c>
      <c r="G5" s="7" t="inlineStr">
        <is>
          <t>Scenario ID</t>
        </is>
      </c>
      <c r="I5" s="3" t="inlineStr">
        <is>
          <t>TS-13</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COUNTA(A14:A23)</f>
        <v/>
      </c>
      <c r="C11" s="13" t="inlineStr">
        <is>
          <t>Pass</t>
        </is>
      </c>
      <c r="D11" s="14">
        <f>COUNTIFS(J14:J23,"Pass")</f>
        <v/>
      </c>
      <c r="E11" s="13" t="inlineStr">
        <is>
          <t>Fail</t>
        </is>
      </c>
      <c r="F11" s="14">
        <f>COUNTIFS(J14:J23,"Fail")</f>
        <v/>
      </c>
      <c r="G11" s="13" t="inlineStr">
        <is>
          <t>Blocked</t>
        </is>
      </c>
      <c r="H11" s="14">
        <f>COUNTIFS(J14:J23,"Blocked")</f>
        <v/>
      </c>
      <c r="I11" s="13" t="inlineStr">
        <is>
          <t>Not Run</t>
        </is>
      </c>
      <c r="J11" s="14">
        <f>COUNTIFS(J14:J23,"Not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TC-13-01</t>
        </is>
      </c>
      <c r="B14" s="23" t="inlineStr">
        <is>
          <t>TS-13
Midtrans Sandbox</t>
        </is>
      </c>
      <c r="C14" s="23" t="inlineStr">
        <is>
          <t>Mulai pembayaran
Prioritas: P1
Desain: Review</t>
        </is>
      </c>
      <c r="D14" s="23" t="inlineStr">
        <is>
          <t>Agreement final; tujuan payout valid; WAITING_PAYMENT; sandbox siap; nominal sesuai buyer_total.</t>
        </is>
      </c>
      <c r="E14" s="23" t="inlineStr">
        <is>
          <t>1. Buyer membuka pembayaran transaksi memenuhi syarat.</t>
        </is>
      </c>
      <c r="F14" s="23" t="inlineStr">
        <is>
          <t>Order Midtrans Sandbox, buyer_total dari snapshot, order_id dan payload uji sah/tidak sah; kredensial sandbox tidak dicantumkan di Excel.</t>
        </is>
      </c>
      <c r="G14" s="23" t="inlineStr">
        <is>
          <t>Order sandbox/nominal benar; satu record payments terkait.</t>
        </is>
      </c>
      <c r="H14" s="23" t="inlineStr">
        <is>
          <t>Status pembayaran hanya berubah setelah verifikasi server sah; callback ulang tidak menggandakan payment/efek bisnis.</t>
        </is>
      </c>
      <c r="I14" s="24" t="n"/>
      <c r="J14" s="25" t="inlineStr">
        <is>
          <t>Not Run</t>
        </is>
      </c>
    </row>
    <row r="15" ht="100" customHeight="1">
      <c r="A15" s="22" t="inlineStr">
        <is>
          <t>TC-13-02</t>
        </is>
      </c>
      <c r="B15" s="23" t="inlineStr">
        <is>
          <t>TS-13
Midtrans Sandbox</t>
        </is>
      </c>
      <c r="C15" s="23" t="inlineStr">
        <is>
          <t>Sukses terverifikasi
Prioritas: P1
Desain: Review</t>
        </is>
      </c>
      <c r="D15" s="23" t="inlineStr">
        <is>
          <t>Agreement final; tujuan payout valid; WAITING_PAYMENT; sandbox siap; nominal sesuai buyer_total.</t>
        </is>
      </c>
      <c r="E15" s="23" t="inlineStr">
        <is>
          <t>1. Selesaikan pembayaran uji
2. terima hasil terverifikasi.</t>
        </is>
      </c>
      <c r="F15" s="23" t="inlineStr">
        <is>
          <t>Order Midtrans Sandbox, buyer_total dari snapshot, order_id dan payload uji sah/tidak sah; kredensial sandbox tidak dicantumkan di Excel.</t>
        </is>
      </c>
      <c r="G15" s="23" t="inlineStr">
        <is>
          <t>Payment PAID; transaksi PAID; paid_at dan tenggat penyerahan tercatat.</t>
        </is>
      </c>
      <c r="H15" s="23" t="inlineStr">
        <is>
          <t>Status pembayaran hanya berubah setelah verifikasi server sah; callback ulang tidak menggandakan payment/efek bisnis.</t>
        </is>
      </c>
      <c r="I15" s="24" t="n"/>
      <c r="J15" s="25" t="inlineStr">
        <is>
          <t>Not Run</t>
        </is>
      </c>
    </row>
    <row r="16" ht="100" customHeight="1">
      <c r="A16" s="22" t="inlineStr">
        <is>
          <t>TC-13-03</t>
        </is>
      </c>
      <c r="B16" s="23" t="inlineStr">
        <is>
          <t>TS-13
Midtrans Sandbox</t>
        </is>
      </c>
      <c r="C16" s="23" t="inlineStr">
        <is>
          <t>Pending
Prioritas: P1
Desain: Review</t>
        </is>
      </c>
      <c r="D16" s="23" t="inlineStr">
        <is>
          <t>Agreement final; tujuan payout valid; WAITING_PAYMENT; sandbox siap; nominal sesuai buyer_total.</t>
        </is>
      </c>
      <c r="E16" s="23" t="inlineStr">
        <is>
          <t>1. Simulasikan hasil pending sah.</t>
        </is>
      </c>
      <c r="F16" s="23" t="inlineStr">
        <is>
          <t>Order Midtrans Sandbox, buyer_total dari snapshot, order_id dan payload uji sah/tidak sah; kredensial sandbox tidak dicantumkan di Excel.</t>
        </is>
      </c>
      <c r="G16" s="23" t="inlineStr">
        <is>
          <t>Belum PAID; status pending dijelaskan.</t>
        </is>
      </c>
      <c r="H16" s="23" t="inlineStr">
        <is>
          <t>Status pembayaran hanya berubah setelah verifikasi server sah; callback ulang tidak menggandakan payment/efek bisnis.</t>
        </is>
      </c>
      <c r="I16" s="24" t="n"/>
      <c r="J16" s="25" t="inlineStr">
        <is>
          <t>Not Run</t>
        </is>
      </c>
    </row>
    <row r="17" ht="100" customHeight="1">
      <c r="A17" s="22" t="inlineStr">
        <is>
          <t>TC-13-04</t>
        </is>
      </c>
      <c r="B17" s="23" t="inlineStr">
        <is>
          <t>TS-13
Midtrans Sandbox</t>
        </is>
      </c>
      <c r="C17" s="23" t="inlineStr">
        <is>
          <t>Gagal batal expired
Prioritas: P1
Desain: Review</t>
        </is>
      </c>
      <c r="D17" s="23" t="inlineStr">
        <is>
          <t>Agreement final; tujuan payout valid; WAITING_PAYMENT; sandbox siap; nominal sesuai buyer_total.</t>
        </is>
      </c>
      <c r="E17" s="23" t="inlineStr">
        <is>
          <t>1. Jalankan setiap hasil pada percobaan terpisah.</t>
        </is>
      </c>
      <c r="F17" s="23" t="inlineStr">
        <is>
          <t>Order Midtrans Sandbox, buyer_total dari snapshot, order_id dan payload uji sah/tidak sah; kredensial sandbox tidak dicantumkan di Excel.</t>
        </is>
      </c>
      <c r="G17" s="23" t="inlineStr">
        <is>
          <t>Status payment sesuai; tidak ada izin penyerahan tanpa pembayaran berhasil.</t>
        </is>
      </c>
      <c r="H17" s="23" t="inlineStr">
        <is>
          <t>Status pembayaran hanya berubah setelah verifikasi server sah; callback ulang tidak menggandakan payment/efek bisnis.</t>
        </is>
      </c>
      <c r="I17" s="24" t="n"/>
      <c r="J17" s="25" t="inlineStr">
        <is>
          <t>Not Run</t>
        </is>
      </c>
    </row>
    <row r="18" ht="100" customHeight="1">
      <c r="A18" s="22" t="inlineStr">
        <is>
          <t>TC-13-05</t>
        </is>
      </c>
      <c r="B18" s="23" t="inlineStr">
        <is>
          <t>TS-13
Midtrans Sandbox</t>
        </is>
      </c>
      <c r="C18" s="23" t="inlineStr">
        <is>
          <t>Payload tidak sah
Prioritas: P1
Desain: Review</t>
        </is>
      </c>
      <c r="D18" s="23" t="inlineStr">
        <is>
          <t>Agreement final; tujuan payout valid; WAITING_PAYMENT; sandbox siap; nominal sesuai buyer_total.</t>
        </is>
      </c>
      <c r="E18" s="23" t="inlineStr">
        <is>
          <t>1. Kirim signature/payload salah atau order tak dikenal melalui alat uji.</t>
        </is>
      </c>
      <c r="F18" s="23" t="inlineStr">
        <is>
          <t>Order Midtrans Sandbox, buyer_total dari snapshot, order_id dan payload uji sah/tidak sah; kredensial sandbox tidak dicantumkan di Excel.</t>
        </is>
      </c>
      <c r="G18" s="23" t="inlineStr">
        <is>
          <t>Tidak menjadi PAID; kesalahan tertangani tanpa bocor kredensial.</t>
        </is>
      </c>
      <c r="H18" s="23" t="inlineStr">
        <is>
          <t>Status pembayaran hanya berubah setelah verifikasi server sah; callback ulang tidak menggandakan payment/efek bisnis.</t>
        </is>
      </c>
      <c r="I18" s="24" t="n"/>
      <c r="J18" s="25" t="inlineStr">
        <is>
          <t>Not Run</t>
        </is>
      </c>
    </row>
    <row r="19" ht="100" customHeight="1">
      <c r="A19" s="22" t="inlineStr">
        <is>
          <t>TC-13-06</t>
        </is>
      </c>
      <c r="B19" s="23" t="inlineStr">
        <is>
          <t>TS-13
Midtrans Sandbox</t>
        </is>
      </c>
      <c r="C19" s="23" t="inlineStr">
        <is>
          <t>Nominal tidak cocok
Prioritas: P1
Desain: Review</t>
        </is>
      </c>
      <c r="D19" s="23" t="inlineStr">
        <is>
          <t>Agreement final; tujuan payout valid; WAITING_PAYMENT; sandbox siap; nominal sesuai buyer_total.</t>
        </is>
      </c>
      <c r="E19" s="23" t="inlineStr">
        <is>
          <t>1. Kirim hasil dengan nominal berbeda dari buyer_total.</t>
        </is>
      </c>
      <c r="F19" s="23" t="inlineStr">
        <is>
          <t>Order Midtrans Sandbox, buyer_total dari snapshot, order_id dan payload uji sah/tidak sah; kredensial sandbox tidak dicantumkan di Excel.</t>
        </is>
      </c>
      <c r="G19" s="23" t="inlineStr">
        <is>
          <t>Tidak diterima sebagai pembayaran sah.</t>
        </is>
      </c>
      <c r="H19" s="23" t="inlineStr">
        <is>
          <t>Status pembayaran hanya berubah setelah verifikasi server sah; callback ulang tidak menggandakan payment/efek bisnis.</t>
        </is>
      </c>
      <c r="I19" s="24" t="n"/>
      <c r="J19" s="25" t="inlineStr">
        <is>
          <t>Not Run</t>
        </is>
      </c>
    </row>
    <row r="20" ht="100" customHeight="1">
      <c r="A20" s="22" t="inlineStr">
        <is>
          <t>TC-13-07</t>
        </is>
      </c>
      <c r="B20" s="23" t="inlineStr">
        <is>
          <t>TS-13
Midtrans Sandbox</t>
        </is>
      </c>
      <c r="C20" s="23" t="inlineStr">
        <is>
          <t>Callback berulang
Prioritas: P1
Desain: Review</t>
        </is>
      </c>
      <c r="D20" s="23" t="inlineStr">
        <is>
          <t>Agreement final; tujuan payout valid; WAITING_PAYMENT; sandbox siap; nominal sesuai buyer_total.</t>
        </is>
      </c>
      <c r="E20" s="23" t="inlineStr">
        <is>
          <t>1. Kirim ulang callback sukses sama, termasuk bersamaan.</t>
        </is>
      </c>
      <c r="F20" s="23" t="inlineStr">
        <is>
          <t>Order Midtrans Sandbox, buyer_total dari snapshot, order_id dan payload uji sah/tidak sah; kredensial sandbox tidak dicantumkan di Excel.</t>
        </is>
      </c>
      <c r="G20" s="23" t="inlineStr">
        <is>
          <t>Satu payment/efek status; poin/notifikasi tidak ganda.</t>
        </is>
      </c>
      <c r="H20" s="23" t="inlineStr">
        <is>
          <t>Status pembayaran hanya berubah setelah verifikasi server sah; callback ulang tidak menggandakan payment/efek bisnis.</t>
        </is>
      </c>
      <c r="I20" s="24" t="n"/>
      <c r="J20" s="25" t="inlineStr">
        <is>
          <t>Not Run</t>
        </is>
      </c>
    </row>
    <row r="21" ht="100" customHeight="1">
      <c r="A21" s="22" t="inlineStr">
        <is>
          <t>TC-13-08</t>
        </is>
      </c>
      <c r="B21" s="23" t="inlineStr">
        <is>
          <t>TS-13
Midtrans Sandbox</t>
        </is>
      </c>
      <c r="C21" s="23" t="inlineStr">
        <is>
          <t>Callback tidak berurutan
Prioritas: P1
Desain: Review</t>
        </is>
      </c>
      <c r="D21" s="23" t="inlineStr">
        <is>
          <t>Agreement final; tujuan payout valid; WAITING_PAYMENT; sandbox siap; nominal sesuai buyer_total.</t>
        </is>
      </c>
      <c r="E21" s="23" t="inlineStr">
        <is>
          <t>1. Setelah sukses sah, kirim pending lama.</t>
        </is>
      </c>
      <c r="F21" s="23" t="inlineStr">
        <is>
          <t>Order Midtrans Sandbox, buyer_total dari snapshot, order_id dan payload uji sah/tidak sah; kredensial sandbox tidak dicantumkan di Excel.</t>
        </is>
      </c>
      <c r="G21" s="23" t="inlineStr">
        <is>
          <t>Status tidak turun ke pending; mengikuti transisi terverifikasi.</t>
        </is>
      </c>
      <c r="H21" s="23" t="inlineStr">
        <is>
          <t>Status pembayaran hanya berubah setelah verifikasi server sah; callback ulang tidak menggandakan payment/efek bisnis.</t>
        </is>
      </c>
      <c r="I21" s="24" t="n"/>
      <c r="J21" s="25" t="inlineStr">
        <is>
          <t>Not Run</t>
        </is>
      </c>
    </row>
    <row r="22" ht="100" customHeight="1">
      <c r="A22" s="22" t="inlineStr">
        <is>
          <t>TC-13-09</t>
        </is>
      </c>
      <c r="B22" s="23" t="inlineStr">
        <is>
          <t>TS-13
Midtrans Sandbox</t>
        </is>
      </c>
      <c r="C22" s="23" t="inlineStr">
        <is>
          <t>Manipulasi browser
Prioritas: P1
Desain: Review</t>
        </is>
      </c>
      <c r="D22" s="23" t="inlineStr">
        <is>
          <t>Agreement final; tujuan payout valid; WAITING_PAYMENT; sandbox siap; nominal sesuai buyer_total.</t>
        </is>
      </c>
      <c r="E22" s="23" t="inlineStr">
        <is>
          <t>1. Ubah return URL/status request menjadi success tanpa hasil sah.</t>
        </is>
      </c>
      <c r="F22" s="23" t="inlineStr">
        <is>
          <t>Order Midtrans Sandbox, buyer_total dari snapshot, order_id dan payload uji sah/tidak sah; kredensial sandbox tidak dicantumkan di Excel.</t>
        </is>
      </c>
      <c r="G22" s="23" t="inlineStr">
        <is>
          <t>Klaim browser tidak membuat PAID.</t>
        </is>
      </c>
      <c r="H22" s="23" t="inlineStr">
        <is>
          <t>Status pembayaran hanya berubah setelah verifikasi server sah; callback ulang tidak menggandakan payment/efek bisnis.</t>
        </is>
      </c>
      <c r="I22" s="24" t="n"/>
      <c r="J22" s="25" t="inlineStr">
        <is>
          <t>Not Run</t>
        </is>
      </c>
    </row>
    <row r="23" ht="100" customHeight="1">
      <c r="A23" s="22" t="inlineStr">
        <is>
          <t>TC-13-10</t>
        </is>
      </c>
      <c r="B23" s="23" t="inlineStr">
        <is>
          <t>TS-13
Midtrans Sandbox</t>
        </is>
      </c>
      <c r="C23" s="23" t="inlineStr">
        <is>
          <t>Tidak memenuhi syarat
Prioritas: P1
Desain: Review</t>
        </is>
      </c>
      <c r="D23" s="23" t="inlineStr">
        <is>
          <t>Agreement final; tujuan payout valid; WAITING_PAYMENT; sandbox siap; nominal sesuai buyer_total.</t>
        </is>
      </c>
      <c r="E23" s="23" t="inlineStr">
        <is>
          <t>1. Uji draft, transaksi pihak lain/terminal, dan gateway tidak tersedia.</t>
        </is>
      </c>
      <c r="F23" s="23" t="inlineStr">
        <is>
          <t>Order Midtrans Sandbox, buyer_total dari snapshot, order_id dan payload uji sah/tidak sah; kredensial sandbox tidak dicantumkan di Excel.</t>
        </is>
      </c>
      <c r="G23" s="23" t="inlineStr">
        <is>
          <t>Ilegal ditolak; gangguan tidak menghasilkan payment/status palsu.</t>
        </is>
      </c>
      <c r="H23" s="23" t="inlineStr">
        <is>
          <t>Status pembayaran hanya berubah setelah verifikasi server sah; callback ulang tidak menggandakan payment/efek bisnis.</t>
        </is>
      </c>
      <c r="I23" s="24" t="n"/>
      <c r="J23"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23">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23"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tabColor rgb="FF3E5F91"/>
    <outlinePr summaryBelow="1" summaryRight="1"/>
    <pageSetUpPr/>
  </sheetPr>
  <dimension ref="A1:J18"/>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TS-14  Penyerahan digital</t>
        </is>
      </c>
    </row>
    <row r="3" ht="20" customHeight="1">
      <c r="A3" s="5" t="inlineStr">
        <is>
          <t>TC-14-01 sampai TC-14-05  |  5 test case  |  Rancangan revisi 0.2</t>
        </is>
      </c>
    </row>
    <row r="4">
      <c r="A4" s="3" t="n"/>
      <c r="B4" s="3" t="n"/>
      <c r="C4" s="3" t="n"/>
      <c r="D4" s="3" t="n"/>
      <c r="E4" s="3" t="n"/>
      <c r="F4" s="3" t="n"/>
      <c r="G4" s="3" t="n"/>
      <c r="H4" s="3" t="n"/>
      <c r="I4" s="3" t="n"/>
      <c r="J4" s="3" t="n"/>
    </row>
    <row r="5" ht="23" customHeight="1">
      <c r="A5" s="7" t="inlineStr">
        <is>
          <t>Module Name</t>
        </is>
      </c>
      <c r="C5" s="3" t="inlineStr">
        <is>
          <t>Penyerahan digital</t>
        </is>
      </c>
      <c r="G5" s="7" t="inlineStr">
        <is>
          <t>Scenario ID</t>
        </is>
      </c>
      <c r="I5" s="3" t="inlineStr">
        <is>
          <t>TS-14</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COUNTA(A14:A18)</f>
        <v/>
      </c>
      <c r="C11" s="13" t="inlineStr">
        <is>
          <t>Pass</t>
        </is>
      </c>
      <c r="D11" s="14">
        <f>COUNTIFS(J14:J18,"Pass")</f>
        <v/>
      </c>
      <c r="E11" s="13" t="inlineStr">
        <is>
          <t>Fail</t>
        </is>
      </c>
      <c r="F11" s="14">
        <f>COUNTIFS(J14:J18,"Fail")</f>
        <v/>
      </c>
      <c r="G11" s="13" t="inlineStr">
        <is>
          <t>Blocked</t>
        </is>
      </c>
      <c r="H11" s="14">
        <f>COUNTIFS(J14:J18,"Blocked")</f>
        <v/>
      </c>
      <c r="I11" s="13" t="inlineStr">
        <is>
          <t>Not Run</t>
        </is>
      </c>
      <c r="J11" s="14">
        <f>COUNTIFS(J14:J18,"Not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TC-14-01</t>
        </is>
      </c>
      <c r="B14" s="23" t="inlineStr">
        <is>
          <t>TS-14
Penyerahan digital</t>
        </is>
      </c>
      <c r="C14" s="23" t="inlineStr">
        <is>
          <t>Penyerahan valid
Prioritas: P1
Desain: Review</t>
        </is>
      </c>
      <c r="D14" s="23" t="inlineStr">
        <is>
          <t>Seller transaksi aktif; transaksi PAID dan bukti valid tersedia.</t>
        </is>
      </c>
      <c r="E14" s="23" t="inlineStr">
        <is>
          <t>1. Baca snapshot
2. isi hasil/catatan dan bukti
3. kirim.</t>
        </is>
      </c>
      <c r="F14" s="23" t="inlineStr">
        <is>
          <t>Seller QA B; transaksi PAID, WAITING_PAYMENT dan terminal; catatan/hasil digital serta bukti penyerahan QA.</t>
        </is>
      </c>
      <c r="G14" s="23" t="inlineStr">
        <is>
          <t>Tersimpan; DELIVERED; waktu/notifikasi Buyer tercatat.</t>
        </is>
      </c>
      <c r="H14" s="23" t="inlineStr">
        <is>
          <t>Hasil penyerahan sah tersimpan sekali pada transaksi terkait; aksi tidak sah tidak mengubah status.</t>
        </is>
      </c>
      <c r="I14" s="24" t="n"/>
      <c r="J14" s="25" t="inlineStr">
        <is>
          <t>Not Run</t>
        </is>
      </c>
    </row>
    <row r="15" ht="100" customHeight="1">
      <c r="A15" s="22" t="inlineStr">
        <is>
          <t>TC-14-02</t>
        </is>
      </c>
      <c r="B15" s="23" t="inlineStr">
        <is>
          <t>TS-14
Penyerahan digital</t>
        </is>
      </c>
      <c r="C15" s="23" t="inlineStr">
        <is>
          <t>Data wajib tidak lengkap
Prioritas: P1
Desain: Review</t>
        </is>
      </c>
      <c r="D15" s="23" t="inlineStr">
        <is>
          <t>Seller transaksi aktif; transaksi PAID dan bukti valid tersedia.</t>
        </is>
      </c>
      <c r="E15" s="23" t="inlineStr">
        <is>
          <t>1. Kosongkan bukti atau hasil wajib.</t>
        </is>
      </c>
      <c r="F15" s="23" t="inlineStr">
        <is>
          <t>Seller QA B; transaksi PAID, WAITING_PAYMENT dan terminal; catatan/hasil digital serta bukti penyerahan QA.</t>
        </is>
      </c>
      <c r="G15" s="23" t="inlineStr">
        <is>
          <t>Ditolak; status tetap.</t>
        </is>
      </c>
      <c r="H15" s="23" t="inlineStr">
        <is>
          <t>Hasil penyerahan sah tersimpan sekali pada transaksi terkait; aksi tidak sah tidak mengubah status.</t>
        </is>
      </c>
      <c r="I15" s="24" t="n"/>
      <c r="J15" s="25" t="inlineStr">
        <is>
          <t>Not Run</t>
        </is>
      </c>
    </row>
    <row r="16" ht="100" customHeight="1">
      <c r="A16" s="22" t="inlineStr">
        <is>
          <t>TC-14-03</t>
        </is>
      </c>
      <c r="B16" s="23" t="inlineStr">
        <is>
          <t>TS-14
Penyerahan digital</t>
        </is>
      </c>
      <c r="C16" s="23" t="inlineStr">
        <is>
          <t>Status salah
Prioritas: P1
Desain: Review</t>
        </is>
      </c>
      <c r="D16" s="23" t="inlineStr">
        <is>
          <t>Seller transaksi aktif; transaksi PAID dan bukti valid tersedia.</t>
        </is>
      </c>
      <c r="E16" s="23" t="inlineStr">
        <is>
          <t>1. Serahkan pada WAITING_PAYMENT/terminal.</t>
        </is>
      </c>
      <c r="F16" s="23" t="inlineStr">
        <is>
          <t>Seller QA B; transaksi PAID, WAITING_PAYMENT dan terminal; catatan/hasil digital serta bukti penyerahan QA.</t>
        </is>
      </c>
      <c r="G16" s="23" t="inlineStr">
        <is>
          <t>Ditolak.</t>
        </is>
      </c>
      <c r="H16" s="23" t="inlineStr">
        <is>
          <t>Hasil penyerahan sah tersimpan sekali pada transaksi terkait; aksi tidak sah tidak mengubah status.</t>
        </is>
      </c>
      <c r="I16" s="24" t="n"/>
      <c r="J16" s="25" t="inlineStr">
        <is>
          <t>Not Run</t>
        </is>
      </c>
    </row>
    <row r="17" ht="100" customHeight="1">
      <c r="A17" s="22" t="inlineStr">
        <is>
          <t>TC-14-04</t>
        </is>
      </c>
      <c r="B17" s="23" t="inlineStr">
        <is>
          <t>TS-14
Penyerahan digital</t>
        </is>
      </c>
      <c r="C17" s="23" t="inlineStr">
        <is>
          <t>Bukan Seller
Prioritas: P1
Desain: Review</t>
        </is>
      </c>
      <c r="D17" s="23" t="inlineStr">
        <is>
          <t>Seller transaksi aktif; transaksi PAID dan bukti valid tersedia.</t>
        </is>
      </c>
      <c r="E17" s="23" t="inlineStr">
        <is>
          <t>1. Buyer/nonpihak mencoba menyerahkan.</t>
        </is>
      </c>
      <c r="F17" s="23" t="inlineStr">
        <is>
          <t>Seller QA B; transaksi PAID, WAITING_PAYMENT dan terminal; catatan/hasil digital serta bukti penyerahan QA.</t>
        </is>
      </c>
      <c r="G17" s="23" t="inlineStr">
        <is>
          <t>Ditolak; hanya Seller transaksi berwenang.</t>
        </is>
      </c>
      <c r="H17" s="23" t="inlineStr">
        <is>
          <t>Hasil penyerahan sah tersimpan sekali pada transaksi terkait; aksi tidak sah tidak mengubah status.</t>
        </is>
      </c>
      <c r="I17" s="24" t="n"/>
      <c r="J17" s="25" t="inlineStr">
        <is>
          <t>Not Run</t>
        </is>
      </c>
    </row>
    <row r="18" ht="100" customHeight="1">
      <c r="A18" s="22" t="inlineStr">
        <is>
          <t>TC-14-05</t>
        </is>
      </c>
      <c r="B18" s="23" t="inlineStr">
        <is>
          <t>TS-14
Penyerahan digital</t>
        </is>
      </c>
      <c r="C18" s="23" t="inlineStr">
        <is>
          <t>Penyerahan ulang
Prioritas: P1
Desain: Review</t>
        </is>
      </c>
      <c r="D18" s="23" t="inlineStr">
        <is>
          <t>Seller transaksi aktif; transaksi PAID dan bukti valid tersedia.</t>
        </is>
      </c>
      <c r="E18" s="23" t="inlineStr">
        <is>
          <t>1. Kirim ulang request penyerahan sama.</t>
        </is>
      </c>
      <c r="F18" s="23" t="inlineStr">
        <is>
          <t>Seller QA B; transaksi PAID, WAITING_PAYMENT dan terminal; catatan/hasil digital serta bukti penyerahan QA.</t>
        </is>
      </c>
      <c r="G18" s="23" t="inlineStr">
        <is>
          <t>Tidak ada penyerahan/efek ganda.</t>
        </is>
      </c>
      <c r="H18" s="23" t="inlineStr">
        <is>
          <t>Hasil penyerahan sah tersimpan sekali pada transaksi terkait; aksi tidak sah tidak mengubah status.</t>
        </is>
      </c>
      <c r="I18" s="24" t="n"/>
      <c r="J18"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8">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8"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tabColor rgb="FF3E5F91"/>
    <outlinePr summaryBelow="1" summaryRight="1"/>
    <pageSetUpPr/>
  </sheetPr>
  <dimension ref="A1:J17"/>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TS-15  Konfirmasi penerimaan</t>
        </is>
      </c>
    </row>
    <row r="3" ht="20" customHeight="1">
      <c r="A3" s="5" t="inlineStr">
        <is>
          <t>TC-15-01 sampai TC-15-04  |  4 test case  |  Rancangan revisi 0.2</t>
        </is>
      </c>
    </row>
    <row r="4">
      <c r="A4" s="3" t="n"/>
      <c r="B4" s="3" t="n"/>
      <c r="C4" s="3" t="n"/>
      <c r="D4" s="3" t="n"/>
      <c r="E4" s="3" t="n"/>
      <c r="F4" s="3" t="n"/>
      <c r="G4" s="3" t="n"/>
      <c r="H4" s="3" t="n"/>
      <c r="I4" s="3" t="n"/>
      <c r="J4" s="3" t="n"/>
    </row>
    <row r="5" ht="23" customHeight="1">
      <c r="A5" s="7" t="inlineStr">
        <is>
          <t>Module Name</t>
        </is>
      </c>
      <c r="C5" s="3" t="inlineStr">
        <is>
          <t>Konfirmasi penerimaan</t>
        </is>
      </c>
      <c r="G5" s="7" t="inlineStr">
        <is>
          <t>Scenario ID</t>
        </is>
      </c>
      <c r="I5" s="3" t="inlineStr">
        <is>
          <t>TS-15</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COUNTA(A14:A17)</f>
        <v/>
      </c>
      <c r="C11" s="13" t="inlineStr">
        <is>
          <t>Pass</t>
        </is>
      </c>
      <c r="D11" s="14">
        <f>COUNTIFS(J14:J17,"Pass")</f>
        <v/>
      </c>
      <c r="E11" s="13" t="inlineStr">
        <is>
          <t>Fail</t>
        </is>
      </c>
      <c r="F11" s="14">
        <f>COUNTIFS(J14:J17,"Fail")</f>
        <v/>
      </c>
      <c r="G11" s="13" t="inlineStr">
        <is>
          <t>Blocked</t>
        </is>
      </c>
      <c r="H11" s="14">
        <f>COUNTIFS(J14:J17,"Blocked")</f>
        <v/>
      </c>
      <c r="I11" s="13" t="inlineStr">
        <is>
          <t>Not Run</t>
        </is>
      </c>
      <c r="J11" s="14">
        <f>COUNTIFS(J14:J17,"Not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TC-15-01</t>
        </is>
      </c>
      <c r="B14" s="23" t="inlineStr">
        <is>
          <t>TS-15
Konfirmasi penerimaan</t>
        </is>
      </c>
      <c r="C14" s="23" t="inlineStr">
        <is>
          <t>Konfirmasi valid
Prioritas: P1
Desain: Review</t>
        </is>
      </c>
      <c r="D14" s="23" t="inlineStr">
        <is>
          <t>Transaksi DELIVERED tersedia.</t>
        </is>
      </c>
      <c r="E14" s="23" t="inlineStr">
        <is>
          <t>1. Buyer memeriksa hasil lalu konfirmasi.</t>
        </is>
      </c>
      <c r="F14" s="23" t="inlineStr">
        <is>
          <t>Transaksi DELIVERED dan belum diserahkan; Buyer A, Seller B, nonpihak C; request konfirmasi fixture.</t>
        </is>
      </c>
      <c r="G14" s="23" t="inlineStr">
        <is>
          <t>CONFIRMED; confirmed_at; payout siap; belum COMPLETED.</t>
        </is>
      </c>
      <c r="H14" s="23" t="inlineStr">
        <is>
          <t>Konfirmasi sah tersimpan sekali; CONFIRMED dibedakan dari payout COMPLETED; aksi tidak sah tidak mengubah transaksi.</t>
        </is>
      </c>
      <c r="I14" s="24" t="n"/>
      <c r="J14" s="25" t="inlineStr">
        <is>
          <t>Not Run</t>
        </is>
      </c>
    </row>
    <row r="15" ht="100" customHeight="1">
      <c r="A15" s="22" t="inlineStr">
        <is>
          <t>TC-15-02</t>
        </is>
      </c>
      <c r="B15" s="23" t="inlineStr">
        <is>
          <t>TS-15
Konfirmasi penerimaan</t>
        </is>
      </c>
      <c r="C15" s="23" t="inlineStr">
        <is>
          <t>Belum diserahkan
Prioritas: P1
Desain: Review</t>
        </is>
      </c>
      <c r="D15" s="23" t="inlineStr">
        <is>
          <t>Transaksi DELIVERED tersedia.</t>
        </is>
      </c>
      <c r="E15" s="23" t="inlineStr">
        <is>
          <t>1. Konfirmasi sebelum DELIVERED.</t>
        </is>
      </c>
      <c r="F15" s="23" t="inlineStr">
        <is>
          <t>Transaksi DELIVERED dan belum diserahkan; Buyer A, Seller B, nonpihak C; request konfirmasi fixture.</t>
        </is>
      </c>
      <c r="G15" s="23" t="inlineStr">
        <is>
          <t>Ditolak.</t>
        </is>
      </c>
      <c r="H15" s="23" t="inlineStr">
        <is>
          <t>Konfirmasi sah tersimpan sekali; CONFIRMED dibedakan dari payout COMPLETED; aksi tidak sah tidak mengubah transaksi.</t>
        </is>
      </c>
      <c r="I15" s="24" t="n"/>
      <c r="J15" s="25" t="inlineStr">
        <is>
          <t>Not Run</t>
        </is>
      </c>
    </row>
    <row r="16" ht="100" customHeight="1">
      <c r="A16" s="22" t="inlineStr">
        <is>
          <t>TC-15-03</t>
        </is>
      </c>
      <c r="B16" s="23" t="inlineStr">
        <is>
          <t>TS-15
Konfirmasi penerimaan</t>
        </is>
      </c>
      <c r="C16" s="23" t="inlineStr">
        <is>
          <t>Pelaku salah
Prioritas: P1
Desain: Review</t>
        </is>
      </c>
      <c r="D16" s="23" t="inlineStr">
        <is>
          <t>Transaksi DELIVERED tersedia.</t>
        </is>
      </c>
      <c r="E16" s="23" t="inlineStr">
        <is>
          <t>1. Seller/nonpihak konfirmasi.</t>
        </is>
      </c>
      <c r="F16" s="23" t="inlineStr">
        <is>
          <t>Transaksi DELIVERED dan belum diserahkan; Buyer A, Seller B, nonpihak C; request konfirmasi fixture.</t>
        </is>
      </c>
      <c r="G16" s="23" t="inlineStr">
        <is>
          <t>Ditolak; hanya Buyer terkait.</t>
        </is>
      </c>
      <c r="H16" s="23" t="inlineStr">
        <is>
          <t>Konfirmasi sah tersimpan sekali; CONFIRMED dibedakan dari payout COMPLETED; aksi tidak sah tidak mengubah transaksi.</t>
        </is>
      </c>
      <c r="I16" s="24" t="n"/>
      <c r="J16" s="25" t="inlineStr">
        <is>
          <t>Not Run</t>
        </is>
      </c>
    </row>
    <row r="17" ht="100" customHeight="1">
      <c r="A17" s="22" t="inlineStr">
        <is>
          <t>TC-15-04</t>
        </is>
      </c>
      <c r="B17" s="23" t="inlineStr">
        <is>
          <t>TS-15
Konfirmasi penerimaan</t>
        </is>
      </c>
      <c r="C17" s="23" t="inlineStr">
        <is>
          <t>Konfirmasi ulang
Prioritas: P1
Desain: Review</t>
        </is>
      </c>
      <c r="D17" s="23" t="inlineStr">
        <is>
          <t>Transaksi DELIVERED tersedia.</t>
        </is>
      </c>
      <c r="E17" s="23" t="inlineStr">
        <is>
          <t>1. Kirim ulang setelah berhasil.</t>
        </is>
      </c>
      <c r="F17" s="23" t="inlineStr">
        <is>
          <t>Transaksi DELIVERED dan belum diserahkan; Buyer A, Seller B, nonpihak C; request konfirmasi fixture.</t>
        </is>
      </c>
      <c r="G17" s="23" t="inlineStr">
        <is>
          <t>Tidak ada perubahan/efek ganda.</t>
        </is>
      </c>
      <c r="H17" s="23" t="inlineStr">
        <is>
          <t>Konfirmasi sah tersimpan sekali; CONFIRMED dibedakan dari payout COMPLETED; aksi tidak sah tidak mengubah transaksi.</t>
        </is>
      </c>
      <c r="I17" s="24" t="n"/>
      <c r="J17"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7">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7"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tabColor rgb="FF3E5F91"/>
    <outlinePr summaryBelow="1" summaryRight="1"/>
    <pageSetUpPr/>
  </sheetPr>
  <dimension ref="A1:J18"/>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TS-16  Pengajuan komplain</t>
        </is>
      </c>
    </row>
    <row r="3" ht="20" customHeight="1">
      <c r="A3" s="5" t="inlineStr">
        <is>
          <t>TC-16-01 sampai TC-16-05  |  5 test case  |  Rancangan revisi 0.2</t>
        </is>
      </c>
    </row>
    <row r="4">
      <c r="A4" s="3" t="n"/>
      <c r="B4" s="3" t="n"/>
      <c r="C4" s="3" t="n"/>
      <c r="D4" s="3" t="n"/>
      <c r="E4" s="3" t="n"/>
      <c r="F4" s="3" t="n"/>
      <c r="G4" s="3" t="n"/>
      <c r="H4" s="3" t="n"/>
      <c r="I4" s="3" t="n"/>
      <c r="J4" s="3" t="n"/>
    </row>
    <row r="5" ht="23" customHeight="1">
      <c r="A5" s="7" t="inlineStr">
        <is>
          <t>Module Name</t>
        </is>
      </c>
      <c r="C5" s="3" t="inlineStr">
        <is>
          <t>Pengajuan komplain</t>
        </is>
      </c>
      <c r="G5" s="7" t="inlineStr">
        <is>
          <t>Scenario ID</t>
        </is>
      </c>
      <c r="I5" s="3" t="inlineStr">
        <is>
          <t>TS-16</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COUNTA(A14:A18)</f>
        <v/>
      </c>
      <c r="C11" s="13" t="inlineStr">
        <is>
          <t>Pass</t>
        </is>
      </c>
      <c r="D11" s="14">
        <f>COUNTIFS(J14:J18,"Pass")</f>
        <v/>
      </c>
      <c r="E11" s="13" t="inlineStr">
        <is>
          <t>Fail</t>
        </is>
      </c>
      <c r="F11" s="14">
        <f>COUNTIFS(J14:J18,"Fail")</f>
        <v/>
      </c>
      <c r="G11" s="13" t="inlineStr">
        <is>
          <t>Blocked</t>
        </is>
      </c>
      <c r="H11" s="14">
        <f>COUNTIFS(J14:J18,"Blocked")</f>
        <v/>
      </c>
      <c r="I11" s="13" t="inlineStr">
        <is>
          <t>Not Run</t>
        </is>
      </c>
      <c r="J11" s="14">
        <f>COUNTIFS(J14:J18,"Not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TC-16-01</t>
        </is>
      </c>
      <c r="B14" s="23" t="inlineStr">
        <is>
          <t>TS-16
Pengajuan komplain</t>
        </is>
      </c>
      <c r="C14" s="23" t="inlineStr">
        <is>
          <t>Komplain valid
Prioritas: P1
Desain: Review</t>
        </is>
      </c>
      <c r="D14" s="23" t="inlineStr">
        <is>
          <t>Buyer terkait; tahap mengizinkan komplain; tenggat TBD.</t>
        </is>
      </c>
      <c r="E14" s="23" t="inlineStr">
        <is>
          <t>1. Isi alasan/bukti dalam waktu yang diizinkan.</t>
        </is>
      </c>
      <c r="F14" s="23" t="inlineStr">
        <is>
          <t>Buyer A dan nonpihak; transaksi pada tahap komplain/terminal; alasan teks dan berkas bukti valid/kosong.</t>
        </is>
      </c>
      <c r="G14" s="23" t="inlineStr">
        <is>
          <t>Satu OPEN; DISPUTED; Seller/Admin diberi tahu.</t>
        </is>
      </c>
      <c r="H14" s="23" t="inlineStr">
        <is>
          <t>Komplain sah mengubah transaksi sesuai kontrak dan menahan payout; pengajuan tidak sah tidak membuat kasus baru.</t>
        </is>
      </c>
      <c r="I14" s="24" t="n"/>
      <c r="J14" s="25" t="inlineStr">
        <is>
          <t>Not Run</t>
        </is>
      </c>
    </row>
    <row r="15" ht="100" customHeight="1">
      <c r="A15" s="22" t="inlineStr">
        <is>
          <t>TC-16-02</t>
        </is>
      </c>
      <c r="B15" s="23" t="inlineStr">
        <is>
          <t>TS-16
Pengajuan komplain</t>
        </is>
      </c>
      <c r="C15" s="23" t="inlineStr">
        <is>
          <t>Alasan atau bukti kosong
Prioritas: P1
Desain: Review</t>
        </is>
      </c>
      <c r="D15" s="23" t="inlineStr">
        <is>
          <t>Buyer terkait; tahap mengizinkan komplain; tenggat TBD.</t>
        </is>
      </c>
      <c r="E15" s="23" t="inlineStr">
        <is>
          <t>1. Kosongkan alasan/bukti bergantian.</t>
        </is>
      </c>
      <c r="F15" s="23" t="inlineStr">
        <is>
          <t>Buyer A dan nonpihak; transaksi pada tahap komplain/terminal; alasan teks dan berkas bukti valid/kosong.</t>
        </is>
      </c>
      <c r="G15" s="23" t="inlineStr">
        <is>
          <t>Ditolak; status tetap.</t>
        </is>
      </c>
      <c r="H15" s="23" t="inlineStr">
        <is>
          <t>Komplain sah mengubah transaksi sesuai kontrak dan menahan payout; pengajuan tidak sah tidak membuat kasus baru.</t>
        </is>
      </c>
      <c r="I15" s="24" t="n"/>
      <c r="J15" s="25" t="inlineStr">
        <is>
          <t>Not Run</t>
        </is>
      </c>
    </row>
    <row r="16" ht="100" customHeight="1">
      <c r="A16" s="22" t="inlineStr">
        <is>
          <t>TC-16-03</t>
        </is>
      </c>
      <c r="B16" s="23" t="inlineStr">
        <is>
          <t>TS-16
Pengajuan komplain</t>
        </is>
      </c>
      <c r="C16" s="23" t="inlineStr">
        <is>
          <t>Bukan Buyer
Prioritas: P1
Desain: Review</t>
        </is>
      </c>
      <c r="D16" s="23" t="inlineStr">
        <is>
          <t>Buyer terkait; tahap mengizinkan komplain; tenggat TBD.</t>
        </is>
      </c>
      <c r="E16" s="23" t="inlineStr">
        <is>
          <t>1. Seller/nonpihak mengajukan.</t>
        </is>
      </c>
      <c r="F16" s="23" t="inlineStr">
        <is>
          <t>Buyer A dan nonpihak; transaksi pada tahap komplain/terminal; alasan teks dan berkas bukti valid/kosong.</t>
        </is>
      </c>
      <c r="G16" s="23" t="inlineStr">
        <is>
          <t>Ditolak.</t>
        </is>
      </c>
      <c r="H16" s="23" t="inlineStr">
        <is>
          <t>Komplain sah mengubah transaksi sesuai kontrak dan menahan payout; pengajuan tidak sah tidak membuat kasus baru.</t>
        </is>
      </c>
      <c r="I16" s="24" t="n"/>
      <c r="J16" s="25" t="inlineStr">
        <is>
          <t>Not Run</t>
        </is>
      </c>
    </row>
    <row r="17" ht="100" customHeight="1">
      <c r="A17" s="22" t="inlineStr">
        <is>
          <t>TC-16-04</t>
        </is>
      </c>
      <c r="B17" s="23" t="inlineStr">
        <is>
          <t>TS-16
Pengajuan komplain</t>
        </is>
      </c>
      <c r="C17" s="23" t="inlineStr">
        <is>
          <t>Komplain ganda
Prioritas: P1
Desain: Review</t>
        </is>
      </c>
      <c r="D17" s="23" t="inlineStr">
        <is>
          <t>Buyer terkait; tahap mengizinkan komplain; tenggat TBD.</t>
        </is>
      </c>
      <c r="E17" s="23" t="inlineStr">
        <is>
          <t>1. Ajukan kembali/kirim bersamaan pada transaksi sama.</t>
        </is>
      </c>
      <c r="F17" s="23" t="inlineStr">
        <is>
          <t>Buyer A dan nonpihak; transaksi pada tahap komplain/terminal; alasan teks dan berkas bukti valid/kosong.</t>
        </is>
      </c>
      <c r="G17" s="23" t="inlineStr">
        <is>
          <t>Maksimal satu kasus per transaksi.</t>
        </is>
      </c>
      <c r="H17" s="23" t="inlineStr">
        <is>
          <t>Komplain sah mengubah transaksi sesuai kontrak dan menahan payout; pengajuan tidak sah tidak membuat kasus baru.</t>
        </is>
      </c>
      <c r="I17" s="24" t="n"/>
      <c r="J17" s="25" t="inlineStr">
        <is>
          <t>Not Run</t>
        </is>
      </c>
    </row>
    <row r="18" ht="100" customHeight="1">
      <c r="A18" s="22" t="inlineStr">
        <is>
          <t>TC-16-05</t>
        </is>
      </c>
      <c r="B18" s="23" t="inlineStr">
        <is>
          <t>TS-16
Pengajuan komplain</t>
        </is>
      </c>
      <c r="C18" s="23" t="inlineStr">
        <is>
          <t>Transaksi ditutup
Prioritas: P1
Desain: Review</t>
        </is>
      </c>
      <c r="D18" s="23" t="inlineStr">
        <is>
          <t>Buyer terkait; tahap mengizinkan komplain; tenggat TBD.</t>
        </is>
      </c>
      <c r="E18" s="23" t="inlineStr">
        <is>
          <t>1. Ajukan pada COMPLETED/REFUNDED/status yang dilarang kebijakan.</t>
        </is>
      </c>
      <c r="F18" s="23" t="inlineStr">
        <is>
          <t>Buyer A dan nonpihak; transaksi pada tahap komplain/terminal; alasan teks dan berkas bukti valid/kosong.</t>
        </is>
      </c>
      <c r="G18" s="23" t="inlineStr">
        <is>
          <t>Ditolak sesuai aturan status.</t>
        </is>
      </c>
      <c r="H18" s="23" t="inlineStr">
        <is>
          <t>Komplain sah mengubah transaksi sesuai kontrak dan menahan payout; pengajuan tidak sah tidak membuat kasus baru.</t>
        </is>
      </c>
      <c r="I18" s="24" t="n"/>
      <c r="J18"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8">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8"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tabColor rgb="FF3E5F91"/>
    <outlinePr summaryBelow="1" summaryRight="1"/>
    <pageSetUpPr/>
  </sheetPr>
  <dimension ref="A1:J17"/>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TS-17  Tanggapan komplain</t>
        </is>
      </c>
    </row>
    <row r="3" ht="20" customHeight="1">
      <c r="A3" s="5" t="inlineStr">
        <is>
          <t>TC-17-01 sampai TC-17-04  |  4 test case  |  Rancangan revisi 0.2</t>
        </is>
      </c>
    </row>
    <row r="4">
      <c r="A4" s="3" t="n"/>
      <c r="B4" s="3" t="n"/>
      <c r="C4" s="3" t="n"/>
      <c r="D4" s="3" t="n"/>
      <c r="E4" s="3" t="n"/>
      <c r="F4" s="3" t="n"/>
      <c r="G4" s="3" t="n"/>
      <c r="H4" s="3" t="n"/>
      <c r="I4" s="3" t="n"/>
      <c r="J4" s="3" t="n"/>
    </row>
    <row r="5" ht="23" customHeight="1">
      <c r="A5" s="7" t="inlineStr">
        <is>
          <t>Module Name</t>
        </is>
      </c>
      <c r="C5" s="3" t="inlineStr">
        <is>
          <t>Tanggapan komplain</t>
        </is>
      </c>
      <c r="G5" s="7" t="inlineStr">
        <is>
          <t>Scenario ID</t>
        </is>
      </c>
      <c r="I5" s="3" t="inlineStr">
        <is>
          <t>TS-17</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COUNTA(A14:A17)</f>
        <v/>
      </c>
      <c r="C11" s="13" t="inlineStr">
        <is>
          <t>Pass</t>
        </is>
      </c>
      <c r="D11" s="14">
        <f>COUNTIFS(J14:J17,"Pass")</f>
        <v/>
      </c>
      <c r="E11" s="13" t="inlineStr">
        <is>
          <t>Fail</t>
        </is>
      </c>
      <c r="F11" s="14">
        <f>COUNTIFS(J14:J17,"Fail")</f>
        <v/>
      </c>
      <c r="G11" s="13" t="inlineStr">
        <is>
          <t>Blocked</t>
        </is>
      </c>
      <c r="H11" s="14">
        <f>COUNTIFS(J14:J17,"Blocked")</f>
        <v/>
      </c>
      <c r="I11" s="13" t="inlineStr">
        <is>
          <t>Not Run</t>
        </is>
      </c>
      <c r="J11" s="14">
        <f>COUNTIFS(J14:J17,"Not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TC-17-01</t>
        </is>
      </c>
      <c r="B14" s="23" t="inlineStr">
        <is>
          <t>TS-17
Tanggapan komplain</t>
        </is>
      </c>
      <c r="C14" s="23" t="inlineStr">
        <is>
          <t>Tanggapan valid
Prioritas: P1
Desain: Review</t>
        </is>
      </c>
      <c r="D14" s="23" t="inlineStr">
        <is>
          <t>Kasus aktif dan Seller terkait tersedia.</t>
        </is>
      </c>
      <c r="E14" s="23" t="inlineStr">
        <is>
          <t>1. Baca kasus
2. isi tanggapan/bukti sesuai kewajiban.</t>
        </is>
      </c>
      <c r="F14" s="23" t="inlineStr">
        <is>
          <t>Kasus komplain aktif milik transaksi A-B; Seller B dan Seller lain; teks tanggapan valid/kosong/spasi.</t>
        </is>
      </c>
      <c r="G14" s="23" t="inlineStr">
        <is>
          <t>Tersimpan atas Seller benar; Admin diberi tahu.</t>
        </is>
      </c>
      <c r="H14" s="23" t="inlineStr">
        <is>
          <t>Tanggapan sah tersimpan pada kasus/pelaku yang benar; tidak otomatis memutus settlement.</t>
        </is>
      </c>
      <c r="I14" s="24" t="n"/>
      <c r="J14" s="25" t="inlineStr">
        <is>
          <t>Not Run</t>
        </is>
      </c>
    </row>
    <row r="15" ht="100" customHeight="1">
      <c r="A15" s="22" t="inlineStr">
        <is>
          <t>TC-17-02</t>
        </is>
      </c>
      <c r="B15" s="23" t="inlineStr">
        <is>
          <t>TS-17
Tanggapan komplain</t>
        </is>
      </c>
      <c r="C15" s="23" t="inlineStr">
        <is>
          <t>Tanggapan kosong
Prioritas: P1
Desain: Review</t>
        </is>
      </c>
      <c r="D15" s="23" t="inlineStr">
        <is>
          <t>Kasus aktif dan Seller terkait tersedia.</t>
        </is>
      </c>
      <c r="E15" s="23" t="inlineStr">
        <is>
          <t>1. Kirim kosong/hanya spasi.</t>
        </is>
      </c>
      <c r="F15" s="23" t="inlineStr">
        <is>
          <t>Kasus komplain aktif milik transaksi A-B; Seller B dan Seller lain; teks tanggapan valid/kosong/spasi.</t>
        </is>
      </c>
      <c r="G15" s="23" t="inlineStr">
        <is>
          <t>Ditolak.</t>
        </is>
      </c>
      <c r="H15" s="23" t="inlineStr">
        <is>
          <t>Tanggapan sah tersimpan pada kasus/pelaku yang benar; tidak otomatis memutus settlement.</t>
        </is>
      </c>
      <c r="I15" s="24" t="n"/>
      <c r="J15" s="25" t="inlineStr">
        <is>
          <t>Not Run</t>
        </is>
      </c>
    </row>
    <row r="16" ht="100" customHeight="1">
      <c r="A16" s="22" t="inlineStr">
        <is>
          <t>TC-17-03</t>
        </is>
      </c>
      <c r="B16" s="23" t="inlineStr">
        <is>
          <t>TS-17
Tanggapan komplain</t>
        </is>
      </c>
      <c r="C16" s="23" t="inlineStr">
        <is>
          <t>Kasus pihak lain
Prioritas: P1
Desain: Review</t>
        </is>
      </c>
      <c r="D16" s="23" t="inlineStr">
        <is>
          <t>Kasus aktif dan Seller terkait tersedia.</t>
        </is>
      </c>
      <c r="E16" s="23" t="inlineStr">
        <is>
          <t>1. Seller lain membuka/menanggapi.</t>
        </is>
      </c>
      <c r="F16" s="23" t="inlineStr">
        <is>
          <t>Kasus komplain aktif milik transaksi A-B; Seller B dan Seller lain; teks tanggapan valid/kosong/spasi.</t>
        </is>
      </c>
      <c r="G16" s="23" t="inlineStr">
        <is>
          <t>Akses dan penyimpanan ditolak.</t>
        </is>
      </c>
      <c r="H16" s="23" t="inlineStr">
        <is>
          <t>Tanggapan sah tersimpan pada kasus/pelaku yang benar; tidak otomatis memutus settlement.</t>
        </is>
      </c>
      <c r="I16" s="24" t="n"/>
      <c r="J16" s="25" t="inlineStr">
        <is>
          <t>Not Run</t>
        </is>
      </c>
    </row>
    <row r="17" ht="100" customHeight="1">
      <c r="A17" s="22" t="inlineStr">
        <is>
          <t>TC-17-04</t>
        </is>
      </c>
      <c r="B17" s="23" t="inlineStr">
        <is>
          <t>TS-17
Tanggapan komplain</t>
        </is>
      </c>
      <c r="C17" s="23" t="inlineStr">
        <is>
          <t>Bukan keputusan
Prioritas: P1
Desain: Review</t>
        </is>
      </c>
      <c r="D17" s="23" t="inlineStr">
        <is>
          <t>Kasus aktif dan Seller terkait tersedia.</t>
        </is>
      </c>
      <c r="E17" s="23" t="inlineStr">
        <is>
          <t>1. Kirim tanggapan valid.</t>
        </is>
      </c>
      <c r="F17" s="23" t="inlineStr">
        <is>
          <t>Kasus komplain aktif milik transaksi A-B; Seller B dan Seller lain; teks tanggapan valid/kosong/spasi.</t>
        </is>
      </c>
      <c r="G17" s="23" t="inlineStr">
        <is>
          <t>Tidak otomatis memutus payout/refund atau menutup transaksi.</t>
        </is>
      </c>
      <c r="H17" s="23" t="inlineStr">
        <is>
          <t>Tanggapan sah tersimpan pada kasus/pelaku yang benar; tidak otomatis memutus settlement.</t>
        </is>
      </c>
      <c r="I17" s="24" t="n"/>
      <c r="J17"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7">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7"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tabColor rgb="FF3E5F91"/>
    <outlinePr summaryBelow="1" summaryRight="1"/>
    <pageSetUpPr/>
  </sheetPr>
  <dimension ref="A1:J18"/>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TS-18  Keputusan komplain</t>
        </is>
      </c>
    </row>
    <row r="3" ht="20" customHeight="1">
      <c r="A3" s="5" t="inlineStr">
        <is>
          <t>TC-18-01 sampai TC-18-05  |  5 test case  |  Rancangan revisi 0.2</t>
        </is>
      </c>
    </row>
    <row r="4">
      <c r="A4" s="3" t="n"/>
      <c r="B4" s="3" t="n"/>
      <c r="C4" s="3" t="n"/>
      <c r="D4" s="3" t="n"/>
      <c r="E4" s="3" t="n"/>
      <c r="F4" s="3" t="n"/>
      <c r="G4" s="3" t="n"/>
      <c r="H4" s="3" t="n"/>
      <c r="I4" s="3" t="n"/>
      <c r="J4" s="3" t="n"/>
    </row>
    <row r="5" ht="23" customHeight="1">
      <c r="A5" s="7" t="inlineStr">
        <is>
          <t>Module Name</t>
        </is>
      </c>
      <c r="C5" s="3" t="inlineStr">
        <is>
          <t>Keputusan komplain</t>
        </is>
      </c>
      <c r="G5" s="7" t="inlineStr">
        <is>
          <t>Scenario ID</t>
        </is>
      </c>
      <c r="I5" s="3" t="inlineStr">
        <is>
          <t>TS-18</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COUNTA(A14:A18)</f>
        <v/>
      </c>
      <c r="C11" s="13" t="inlineStr">
        <is>
          <t>Pass</t>
        </is>
      </c>
      <c r="D11" s="14">
        <f>COUNTIFS(J14:J18,"Pass")</f>
        <v/>
      </c>
      <c r="E11" s="13" t="inlineStr">
        <is>
          <t>Fail</t>
        </is>
      </c>
      <c r="F11" s="14">
        <f>COUNTIFS(J14:J18,"Fail")</f>
        <v/>
      </c>
      <c r="G11" s="13" t="inlineStr">
        <is>
          <t>Blocked</t>
        </is>
      </c>
      <c r="H11" s="14">
        <f>COUNTIFS(J14:J18,"Blocked")</f>
        <v/>
      </c>
      <c r="I11" s="13" t="inlineStr">
        <is>
          <t>Not Run</t>
        </is>
      </c>
      <c r="J11" s="14">
        <f>COUNTIFS(J14:J18,"Not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TC-18-01</t>
        </is>
      </c>
      <c r="B14" s="23" t="inlineStr">
        <is>
          <t>TS-18
Keputusan komplain</t>
        </is>
      </c>
      <c r="C14" s="23" t="inlineStr">
        <is>
          <t>Bahan peninjauan
Prioritas: P1
Desain: Review</t>
        </is>
      </c>
      <c r="D14" s="23" t="inlineStr">
        <is>
          <t>Admin aktif; kasus memiliki snapshot dan bukti.</t>
        </is>
      </c>
      <c r="E14" s="23" t="inlineStr">
        <is>
          <t>1. Admin membuka kasus.</t>
        </is>
      </c>
      <c r="F14" s="23" t="inlineStr">
        <is>
          <t>Admin QA dan USER; komplain, snapshot, payment, bukti penyerahan/tanggapan; keputusan PAYOUT/REFUND dan alasan.</t>
        </is>
      </c>
      <c r="G14" s="23" t="inlineStr">
        <is>
          <t>Snapshot, payment, penyerahan, komplain, tanggapan, riwayat tersedia.</t>
        </is>
      </c>
      <c r="H14" s="23" t="inlineStr">
        <is>
          <t>Keputusan Admin sah tercatat beserta alasan/waktu; settlement tetap langkah terpisah.</t>
        </is>
      </c>
      <c r="I14" s="24" t="n"/>
      <c r="J14" s="25" t="inlineStr">
        <is>
          <t>Not Run</t>
        </is>
      </c>
    </row>
    <row r="15" ht="100" customHeight="1">
      <c r="A15" s="22" t="inlineStr">
        <is>
          <t>TC-18-02</t>
        </is>
      </c>
      <c r="B15" s="23" t="inlineStr">
        <is>
          <t>TS-18
Keputusan komplain</t>
        </is>
      </c>
      <c r="C15" s="23" t="inlineStr">
        <is>
          <t>Keputusan payout
Prioritas: P1
Desain: Review</t>
        </is>
      </c>
      <c r="D15" s="23" t="inlineStr">
        <is>
          <t>Admin aktif; kasus memiliki snapshot dan bukti.</t>
        </is>
      </c>
      <c r="E15" s="23" t="inlineStr">
        <is>
          <t>1. Pilih PAYOUT
2. isi alasan.</t>
        </is>
      </c>
      <c r="F15" s="23" t="inlineStr">
        <is>
          <t>Admin QA dan USER; komplain, snapshot, payment, bukti penyerahan/tanggapan; keputusan PAYOUT/REFUND dan alasan.</t>
        </is>
      </c>
      <c r="G15" s="23" t="inlineStr">
        <is>
          <t>Keputusan/alasan/pelaku/waktu tersimpan; settlement belum selesai.</t>
        </is>
      </c>
      <c r="H15" s="23" t="inlineStr">
        <is>
          <t>Keputusan Admin sah tercatat beserta alasan/waktu; settlement tetap langkah terpisah.</t>
        </is>
      </c>
      <c r="I15" s="24" t="n"/>
      <c r="J15" s="25" t="inlineStr">
        <is>
          <t>Not Run</t>
        </is>
      </c>
    </row>
    <row r="16" ht="100" customHeight="1">
      <c r="A16" s="22" t="inlineStr">
        <is>
          <t>TC-18-03</t>
        </is>
      </c>
      <c r="B16" s="23" t="inlineStr">
        <is>
          <t>TS-18
Keputusan komplain</t>
        </is>
      </c>
      <c r="C16" s="23" t="inlineStr">
        <is>
          <t>Keputusan refund
Prioritas: P1
Desain: Review</t>
        </is>
      </c>
      <c r="D16" s="23" t="inlineStr">
        <is>
          <t>Admin aktif; kasus memiliki snapshot dan bukti.</t>
        </is>
      </c>
      <c r="E16" s="23" t="inlineStr">
        <is>
          <t>1. Pilih REFUND
2. isi alasan.</t>
        </is>
      </c>
      <c r="F16" s="23" t="inlineStr">
        <is>
          <t>Admin QA dan USER; komplain, snapshot, payment, bukti penyerahan/tanggapan; keputusan PAYOUT/REFUND dan alasan.</t>
        </is>
      </c>
      <c r="G16" s="23" t="inlineStr">
        <is>
          <t>Keputusan tersimpan; pencatatan refund langkah berikutnya.</t>
        </is>
      </c>
      <c r="H16" s="23" t="inlineStr">
        <is>
          <t>Keputusan Admin sah tercatat beserta alasan/waktu; settlement tetap langkah terpisah.</t>
        </is>
      </c>
      <c r="I16" s="24" t="n"/>
      <c r="J16" s="25" t="inlineStr">
        <is>
          <t>Not Run</t>
        </is>
      </c>
    </row>
    <row r="17" ht="100" customHeight="1">
      <c r="A17" s="22" t="inlineStr">
        <is>
          <t>TC-18-04</t>
        </is>
      </c>
      <c r="B17" s="23" t="inlineStr">
        <is>
          <t>TS-18
Keputusan komplain</t>
        </is>
      </c>
      <c r="C17" s="23" t="inlineStr">
        <is>
          <t>Alasan atau informasi kurang
Prioritas: P1
Desain: Review</t>
        </is>
      </c>
      <c r="D17" s="23" t="inlineStr">
        <is>
          <t>Admin aktif; kasus memiliki snapshot dan bukti.</t>
        </is>
      </c>
      <c r="E17" s="23" t="inlineStr">
        <is>
          <t>1. Kosongkan alasan
2. uji permintaan informasi tambahan.</t>
        </is>
      </c>
      <c r="F17" s="23" t="inlineStr">
        <is>
          <t>Admin QA dan USER; komplain, snapshot, payment, bukti penyerahan/tanggapan; keputusan PAYOUT/REFUND dan alasan.</t>
        </is>
      </c>
      <c r="G17" s="23" t="inlineStr">
        <is>
          <t>Tanpa alasan ditolak; meminta informasi tidak membuat keputusan akhir.</t>
        </is>
      </c>
      <c r="H17" s="23" t="inlineStr">
        <is>
          <t>Keputusan Admin sah tercatat beserta alasan/waktu; settlement tetap langkah terpisah.</t>
        </is>
      </c>
      <c r="I17" s="24" t="n"/>
      <c r="J17" s="25" t="inlineStr">
        <is>
          <t>Not Run</t>
        </is>
      </c>
    </row>
    <row r="18" ht="100" customHeight="1">
      <c r="A18" s="22" t="inlineStr">
        <is>
          <t>TC-18-05</t>
        </is>
      </c>
      <c r="B18" s="23" t="inlineStr">
        <is>
          <t>TS-18
Keputusan komplain</t>
        </is>
      </c>
      <c r="C18" s="23" t="inlineStr">
        <is>
          <t>Akses dan pengulangan
Prioritas: P1
Desain: Review</t>
        </is>
      </c>
      <c r="D18" s="23" t="inlineStr">
        <is>
          <t>Admin aktif; kasus memiliki snapshot dan bukti.</t>
        </is>
      </c>
      <c r="E18" s="23" t="inlineStr">
        <is>
          <t>1. USER memutuskan
2. Admin kirim ulang keputusan sama.</t>
        </is>
      </c>
      <c r="F18" s="23" t="inlineStr">
        <is>
          <t>Admin QA dan USER; komplain, snapshot, payment, bukti penyerahan/tanggapan; keputusan PAYOUT/REFUND dan alasan.</t>
        </is>
      </c>
      <c r="G18" s="23" t="inlineStr">
        <is>
          <t>USER ditolak; efek keputusan tidak ganda.</t>
        </is>
      </c>
      <c r="H18" s="23" t="inlineStr">
        <is>
          <t>Keputusan Admin sah tercatat beserta alasan/waktu; settlement tetap langkah terpisah.</t>
        </is>
      </c>
      <c r="I18" s="24" t="n"/>
      <c r="J18"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8">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8"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tabColor rgb="FF3E5F91"/>
    <outlinePr summaryBelow="1" summaryRight="1"/>
    <pageSetUpPr/>
  </sheetPr>
  <dimension ref="A1:J18"/>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TS-19  Payout simulatif</t>
        </is>
      </c>
    </row>
    <row r="3" ht="20" customHeight="1">
      <c r="A3" s="5" t="inlineStr">
        <is>
          <t>TC-19-01 sampai TC-19-05  |  5 test case  |  Rancangan revisi 0.2</t>
        </is>
      </c>
    </row>
    <row r="4">
      <c r="A4" s="3" t="n"/>
      <c r="B4" s="3" t="n"/>
      <c r="C4" s="3" t="n"/>
      <c r="D4" s="3" t="n"/>
      <c r="E4" s="3" t="n"/>
      <c r="F4" s="3" t="n"/>
      <c r="G4" s="3" t="n"/>
      <c r="H4" s="3" t="n"/>
      <c r="I4" s="3" t="n"/>
      <c r="J4" s="3" t="n"/>
    </row>
    <row r="5" ht="23" customHeight="1">
      <c r="A5" s="7" t="inlineStr">
        <is>
          <t>Module Name</t>
        </is>
      </c>
      <c r="C5" s="3" t="inlineStr">
        <is>
          <t>Payout simulatif</t>
        </is>
      </c>
      <c r="G5" s="7" t="inlineStr">
        <is>
          <t>Scenario ID</t>
        </is>
      </c>
      <c r="I5" s="3" t="inlineStr">
        <is>
          <t>TS-19</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COUNTA(A14:A18)</f>
        <v/>
      </c>
      <c r="C11" s="13" t="inlineStr">
        <is>
          <t>Pass</t>
        </is>
      </c>
      <c r="D11" s="14">
        <f>COUNTIFS(J14:J18,"Pass")</f>
        <v/>
      </c>
      <c r="E11" s="13" t="inlineStr">
        <is>
          <t>Fail</t>
        </is>
      </c>
      <c r="F11" s="14">
        <f>COUNTIFS(J14:J18,"Fail")</f>
        <v/>
      </c>
      <c r="G11" s="13" t="inlineStr">
        <is>
          <t>Blocked</t>
        </is>
      </c>
      <c r="H11" s="14">
        <f>COUNTIFS(J14:J18,"Blocked")</f>
        <v/>
      </c>
      <c r="I11" s="13" t="inlineStr">
        <is>
          <t>Not Run</t>
        </is>
      </c>
      <c r="J11" s="14">
        <f>COUNTIFS(J14:J18,"Not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TC-19-01</t>
        </is>
      </c>
      <c r="B14" s="23" t="inlineStr">
        <is>
          <t>TS-19
Payout simulatif</t>
        </is>
      </c>
      <c r="C14" s="23" t="inlineStr">
        <is>
          <t>Payout setelah konfirmasi
Prioritas: P1
Desain: Review</t>
        </is>
      </c>
      <c r="D14" s="23" t="inlineStr">
        <is>
          <t>CONFIRMED atau keputusan PAYOUT; tujuan Seller valid.</t>
        </is>
      </c>
      <c r="E14" s="23" t="inlineStr">
        <is>
          <t>1. Admin catat seller_net, referensi/bukti sesuai kebijakan.</t>
        </is>
      </c>
      <c r="F14" s="23" t="inlineStr">
        <is>
          <t>Admin QA dan USER; transaksi CONFIRMED/keputusan PAYOUT; seller_net, tujuan Seller, referensi serta bukti payout simulatif.</t>
        </is>
      </c>
      <c r="G14" s="23" t="inlineStr">
        <is>
          <t>PAYOUT COMPLETED; transaksi COMPLETED; pelaku/waktu/bukti tercatat.</t>
        </is>
      </c>
      <c r="H14" s="23" t="inlineStr">
        <is>
          <t>Payout hanya final setelah pencatatan manual sah; request gagal/ganda tidak membuat settlement final tambahan.</t>
        </is>
      </c>
      <c r="I14" s="24" t="n"/>
      <c r="J14" s="25" t="inlineStr">
        <is>
          <t>Not Run</t>
        </is>
      </c>
    </row>
    <row r="15" ht="100" customHeight="1">
      <c r="A15" s="22" t="inlineStr">
        <is>
          <t>TC-19-02</t>
        </is>
      </c>
      <c r="B15" s="23" t="inlineStr">
        <is>
          <t>TS-19
Payout simulatif</t>
        </is>
      </c>
      <c r="C15" s="23" t="inlineStr">
        <is>
          <t>Payout komplain
Prioritas: P1
Desain: Review</t>
        </is>
      </c>
      <c r="D15" s="23" t="inlineStr">
        <is>
          <t>CONFIRMED atau keputusan PAYOUT; tujuan Seller valid.</t>
        </is>
      </c>
      <c r="E15" s="23" t="inlineStr">
        <is>
          <t>1. Catat payout pada keputusan PAYOUT.</t>
        </is>
      </c>
      <c r="F15" s="23" t="inlineStr">
        <is>
          <t>Admin QA dan USER; transaksi CONFIRMED/keputusan PAYOUT; seller_net, tujuan Seller, referensi serta bukti payout simulatif.</t>
        </is>
      </c>
      <c r="G15" s="23" t="inlineStr">
        <is>
          <t>Keputusan/nominal benar; penyelesaian sekali.</t>
        </is>
      </c>
      <c r="H15" s="23" t="inlineStr">
        <is>
          <t>Payout hanya final setelah pencatatan manual sah; request gagal/ganda tidak membuat settlement final tambahan.</t>
        </is>
      </c>
      <c r="I15" s="24" t="n"/>
      <c r="J15" s="25" t="inlineStr">
        <is>
          <t>Not Run</t>
        </is>
      </c>
    </row>
    <row r="16" ht="107" customHeight="1">
      <c r="A16" s="22" t="inlineStr">
        <is>
          <t>TC-19-03</t>
        </is>
      </c>
      <c r="B16" s="23" t="inlineStr">
        <is>
          <t>TS-19
Payout simulatif</t>
        </is>
      </c>
      <c r="C16" s="23" t="inlineStr">
        <is>
          <t>Belum memenuhi syarat
Prioritas: P1
Desain: TBD</t>
        </is>
      </c>
      <c r="D16" s="23" t="inlineStr">
        <is>
          <t>CONFIRMED atau keputusan PAYOUT; tujuan Seller valid.</t>
        </is>
      </c>
      <c r="E16" s="23" t="inlineStr">
        <is>
          <t>1. Payout sebelum konfirmasi/komplain belum diputus.</t>
        </is>
      </c>
      <c r="F16" s="23" t="inlineStr">
        <is>
          <t>Admin QA dan USER; transaksi CONFIRMED/keputusan PAYOUT; seller_net, tujuan Seller, referensi serta bukti payout simulatif.
TBD: lengkapi aturan/data yang belum disahkan sebelum menjalankan kasus ini.</t>
        </is>
      </c>
      <c r="G16" s="23" t="inlineStr">
        <is>
          <t>Ditolak.</t>
        </is>
      </c>
      <c r="H16" s="23" t="inlineStr">
        <is>
          <t>Payout hanya final setelah pencatatan manual sah; request gagal/ganda tidak membuat settlement final tambahan.</t>
        </is>
      </c>
      <c r="I16" s="24" t="n"/>
      <c r="J16" s="25" t="inlineStr">
        <is>
          <t>Not Run</t>
        </is>
      </c>
    </row>
    <row r="17" ht="100" customHeight="1">
      <c r="A17" s="22" t="inlineStr">
        <is>
          <t>TC-19-04</t>
        </is>
      </c>
      <c r="B17" s="23" t="inlineStr">
        <is>
          <t>TS-19
Payout simulatif</t>
        </is>
      </c>
      <c r="C17" s="23" t="inlineStr">
        <is>
          <t>Data atau pelaku salah
Prioritas: P1
Desain: Review</t>
        </is>
      </c>
      <c r="D17" s="23" t="inlineStr">
        <is>
          <t>CONFIRMED atau keputusan PAYOUT; tujuan Seller valid.</t>
        </is>
      </c>
      <c r="E17" s="23" t="inlineStr">
        <is>
          <t>1. Uji nominal bukan seller_net, wajib kosong, pelaku USER.</t>
        </is>
      </c>
      <c r="F17" s="23" t="inlineStr">
        <is>
          <t>Admin QA dan USER; transaksi CONFIRMED/keputusan PAYOUT; seller_net, tujuan Seller, referensi serta bukti payout simulatif.</t>
        </is>
      </c>
      <c r="G17" s="23" t="inlineStr">
        <is>
          <t>Ditolak; tidak ada settlement final tidak sah.</t>
        </is>
      </c>
      <c r="H17" s="23" t="inlineStr">
        <is>
          <t>Payout hanya final setelah pencatatan manual sah; request gagal/ganda tidak membuat settlement final tambahan.</t>
        </is>
      </c>
      <c r="I17" s="24" t="n"/>
      <c r="J17" s="25" t="inlineStr">
        <is>
          <t>Not Run</t>
        </is>
      </c>
    </row>
    <row r="18" ht="100" customHeight="1">
      <c r="A18" s="22" t="inlineStr">
        <is>
          <t>TC-19-05</t>
        </is>
      </c>
      <c r="B18" s="23" t="inlineStr">
        <is>
          <t>TS-19
Payout simulatif</t>
        </is>
      </c>
      <c r="C18" s="23" t="inlineStr">
        <is>
          <t>Ganda dan final terkunci
Prioritas: P1
Desain: Review</t>
        </is>
      </c>
      <c r="D18" s="23" t="inlineStr">
        <is>
          <t>CONFIRMED atau keputusan PAYOUT; tujuan Seller valid.</t>
        </is>
      </c>
      <c r="E18" s="23" t="inlineStr">
        <is>
          <t>1. Kirim ulang/bersamaan
2. coba ubah settlement COMPLETED.</t>
        </is>
      </c>
      <c r="F18" s="23" t="inlineStr">
        <is>
          <t>Admin QA dan USER; transaksi CONFIRMED/keputusan PAYOUT; seller_net, tujuan Seller, referensi serta bukti payout simulatif.</t>
        </is>
      </c>
      <c r="G18" s="23" t="inlineStr">
        <is>
          <t>Satu penyelesaian final; detail terkunci; tanpa transfer nyata.</t>
        </is>
      </c>
      <c r="H18" s="23" t="inlineStr">
        <is>
          <t>Payout hanya final setelah pencatatan manual sah; request gagal/ganda tidak membuat settlement final tambahan.</t>
        </is>
      </c>
      <c r="I18" s="24" t="n"/>
      <c r="J18"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8">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8"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tabColor rgb="FF3E5F91"/>
    <outlinePr summaryBelow="1" summaryRight="1"/>
    <pageSetUpPr/>
  </sheetPr>
  <dimension ref="A1:J20"/>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TS-20  Refund simulatif</t>
        </is>
      </c>
    </row>
    <row r="3" ht="20" customHeight="1">
      <c r="A3" s="5" t="inlineStr">
        <is>
          <t>TC-20-01 sampai TC-20-07  |  7 test case  |  Rancangan revisi 0.2</t>
        </is>
      </c>
    </row>
    <row r="4">
      <c r="A4" s="3" t="n"/>
      <c r="B4" s="3" t="n"/>
      <c r="C4" s="3" t="n"/>
      <c r="D4" s="3" t="n"/>
      <c r="E4" s="3" t="n"/>
      <c r="F4" s="3" t="n"/>
      <c r="G4" s="3" t="n"/>
      <c r="H4" s="3" t="n"/>
      <c r="I4" s="3" t="n"/>
      <c r="J4" s="3" t="n"/>
    </row>
    <row r="5" ht="23" customHeight="1">
      <c r="A5" s="7" t="inlineStr">
        <is>
          <t>Module Name</t>
        </is>
      </c>
      <c r="C5" s="3" t="inlineStr">
        <is>
          <t>Refund simulatif</t>
        </is>
      </c>
      <c r="G5" s="7" t="inlineStr">
        <is>
          <t>Scenario ID</t>
        </is>
      </c>
      <c r="I5" s="3" t="inlineStr">
        <is>
          <t>TS-20</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COUNTA(A14:A20)</f>
        <v/>
      </c>
      <c r="C11" s="13" t="inlineStr">
        <is>
          <t>Pass</t>
        </is>
      </c>
      <c r="D11" s="14">
        <f>COUNTIFS(J14:J20,"Pass")</f>
        <v/>
      </c>
      <c r="E11" s="13" t="inlineStr">
        <is>
          <t>Fail</t>
        </is>
      </c>
      <c r="F11" s="14">
        <f>COUNTIFS(J14:J20,"Fail")</f>
        <v/>
      </c>
      <c r="G11" s="13" t="inlineStr">
        <is>
          <t>Blocked</t>
        </is>
      </c>
      <c r="H11" s="14">
        <f>COUNTIFS(J14:J20,"Blocked")</f>
        <v/>
      </c>
      <c r="I11" s="13" t="inlineStr">
        <is>
          <t>Not Run</t>
        </is>
      </c>
      <c r="J11" s="14">
        <f>COUNTIFS(J14:J20,"Not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7" customHeight="1">
      <c r="A14" s="22" t="inlineStr">
        <is>
          <t>TC-20-01</t>
        </is>
      </c>
      <c r="B14" s="23" t="inlineStr">
        <is>
          <t>TS-20
Refund simulatif</t>
        </is>
      </c>
      <c r="C14" s="23" t="inlineStr">
        <is>
          <t>Refund valid
Prioritas: P1
Desain: TBD</t>
        </is>
      </c>
      <c r="D14" s="23" t="inlineStr">
        <is>
          <t>Keputusan refund dan tujuan Buyer valid. Dasar bruto refund serta biaya Midtrans untuk order uji harus disahkan.</t>
        </is>
      </c>
      <c r="E14" s="23" t="inlineStr">
        <is>
          <t>1. Ambil dasar refund G dari kebijakan yang disahkan dan fee Midtrans M untuk order uji
2. hitung R = G - 3 x M. Admin catat R dan tujuan Buyer.</t>
        </is>
      </c>
      <c r="F14" s="23" t="inlineStr">
        <is>
          <t>Keputusan REFUND; tujuan Buyer; G sebagai dasar refund yang disahkan; M sebagai fee Midtrans order uji; R = G - 3 x M.
TBD: lengkapi aturan/data yang belum disahkan sebelum menjalankan kasus ini.</t>
        </is>
      </c>
      <c r="G14" s="23" t="inlineStr">
        <is>
          <t>Nominal dicocokkan dengan R; komponen G, M dan potongan 3 x M tersimpan/tertelusur. REFUNDED hanya setelah settlement manual berhasil dicatat.</t>
        </is>
      </c>
      <c r="H14" s="23" t="inlineStr">
        <is>
          <t>Refund mengikuti rumus yang disahkan dan tercatat sekali. Payout/refund final saling eksklusif.</t>
        </is>
      </c>
      <c r="I14" s="24" t="n"/>
      <c r="J14" s="25" t="inlineStr">
        <is>
          <t>Not Run</t>
        </is>
      </c>
    </row>
    <row r="15" ht="100" customHeight="1">
      <c r="A15" s="22" t="inlineStr">
        <is>
          <t>TC-20-02</t>
        </is>
      </c>
      <c r="B15" s="23" t="inlineStr">
        <is>
          <t>TS-20
Refund simulatif</t>
        </is>
      </c>
      <c r="C15" s="23" t="inlineStr">
        <is>
          <t>Tanpa keputusan
Prioritas: P1
Desain: Review</t>
        </is>
      </c>
      <c r="D15" s="23" t="inlineStr">
        <is>
          <t>Keputusan refund dan tujuan Buyer valid. Dasar bruto refund serta biaya Midtrans untuk order uji harus disahkan.</t>
        </is>
      </c>
      <c r="E15" s="23" t="inlineStr">
        <is>
          <t>1. Coba tanpa keputusan REFUND/keputusan PAYOUT.</t>
        </is>
      </c>
      <c r="F15" s="23" t="inlineStr">
        <is>
          <t>Keputusan REFUND; tujuan Buyer; G sebagai dasar refund yang disahkan; M sebagai fee Midtrans order uji; R = G - 3 x M.</t>
        </is>
      </c>
      <c r="G15" s="23" t="inlineStr">
        <is>
          <t>Ditolak.</t>
        </is>
      </c>
      <c r="H15" s="23" t="inlineStr">
        <is>
          <t>Refund mengikuti rumus yang disahkan dan tercatat sekali. Payout/refund final saling eksklusif.</t>
        </is>
      </c>
      <c r="I15" s="24" t="n"/>
      <c r="J15" s="25" t="inlineStr">
        <is>
          <t>Not Run</t>
        </is>
      </c>
    </row>
    <row r="16" ht="107" customHeight="1">
      <c r="A16" s="22" t="inlineStr">
        <is>
          <t>TC-20-03</t>
        </is>
      </c>
      <c r="B16" s="23" t="inlineStr">
        <is>
          <t>TS-20
Refund simulatif</t>
        </is>
      </c>
      <c r="C16" s="23" t="inlineStr">
        <is>
          <t>Nominal atau tujuan salah
Prioritas: P1
Desain: TBD</t>
        </is>
      </c>
      <c r="D16" s="23" t="inlineStr">
        <is>
          <t>Keputusan refund dan tujuan Buyer valid. Dasar bruto refund serta biaya Midtrans untuk order uji harus disahkan.</t>
        </is>
      </c>
      <c r="E16" s="23" t="inlineStr">
        <is>
          <t>1. Dengan G dan M disahkan, kirim R+1, R-1, lalu tujuan yang tidak lengkap sebagai dataset terpisah.</t>
        </is>
      </c>
      <c r="F16" s="23" t="inlineStr">
        <is>
          <t>Keputusan REFUND; tujuan Buyer; G sebagai dasar refund yang disahkan; M sebagai fee Midtrans order uji; R = G - 3 x M.
TBD: lengkapi aturan/data yang belum disahkan sebelum menjalankan kasus ini.</t>
        </is>
      </c>
      <c r="G16" s="23" t="inlineStr">
        <is>
          <t>Setiap nominal di luar hasil rumus dan tujuan tidak lengkap ditolak; tidak ada settlement final; status serta saldo tidak berubah.</t>
        </is>
      </c>
      <c r="H16" s="23" t="inlineStr">
        <is>
          <t>Refund mengikuti rumus yang disahkan dan tercatat sekali. Payout/refund final saling eksklusif.</t>
        </is>
      </c>
      <c r="I16" s="24" t="n"/>
      <c r="J16" s="25" t="inlineStr">
        <is>
          <t>Not Run</t>
        </is>
      </c>
    </row>
    <row r="17" ht="100" customHeight="1">
      <c r="A17" s="22" t="inlineStr">
        <is>
          <t>TC-20-04</t>
        </is>
      </c>
      <c r="B17" s="23" t="inlineStr">
        <is>
          <t>TS-20
Refund simulatif</t>
        </is>
      </c>
      <c r="C17" s="23" t="inlineStr">
        <is>
          <t>Pelaku salah
Prioritas: P1
Desain: Review</t>
        </is>
      </c>
      <c r="D17" s="23" t="inlineStr">
        <is>
          <t>Keputusan refund dan tujuan Buyer valid. Dasar bruto refund serta biaya Midtrans untuk order uji harus disahkan.</t>
        </is>
      </c>
      <c r="E17" s="23" t="inlineStr">
        <is>
          <t>1. Buyer/Seller mencatat refund.</t>
        </is>
      </c>
      <c r="F17" s="23" t="inlineStr">
        <is>
          <t>Keputusan REFUND; tujuan Buyer; G sebagai dasar refund yang disahkan; M sebagai fee Midtrans order uji; R = G - 3 x M.</t>
        </is>
      </c>
      <c r="G17" s="23" t="inlineStr">
        <is>
          <t>Ditolak.</t>
        </is>
      </c>
      <c r="H17" s="23" t="inlineStr">
        <is>
          <t>Refund mengikuti rumus yang disahkan dan tercatat sekali. Payout/refund final saling eksklusif.</t>
        </is>
      </c>
      <c r="I17" s="24" t="n"/>
      <c r="J17" s="25" t="inlineStr">
        <is>
          <t>Not Run</t>
        </is>
      </c>
    </row>
    <row r="18" ht="100" customHeight="1">
      <c r="A18" s="22" t="inlineStr">
        <is>
          <t>TC-20-05</t>
        </is>
      </c>
      <c r="B18" s="23" t="inlineStr">
        <is>
          <t>TS-20
Refund simulatif</t>
        </is>
      </c>
      <c r="C18" s="23" t="inlineStr">
        <is>
          <t>Penyelesaian ganda
Prioritas: P1
Desain: Review</t>
        </is>
      </c>
      <c r="D18" s="23" t="inlineStr">
        <is>
          <t>Keputusan refund dan tujuan Buyer valid. Dasar bruto refund serta biaya Midtrans untuk order uji harus disahkan.</t>
        </is>
      </c>
      <c r="E18" s="23" t="inlineStr">
        <is>
          <t>1. Ulangi refund
2. refund setelah payout
3. payout setelah refund.</t>
        </is>
      </c>
      <c r="F18" s="23" t="inlineStr">
        <is>
          <t>Keputusan REFUND; tujuan Buyer; G sebagai dasar refund yang disahkan; M sebagai fee Midtrans order uji; R = G - 3 x M.</t>
        </is>
      </c>
      <c r="G18" s="23" t="inlineStr">
        <is>
          <t>Hanya satu final PAYOUT/REFUND; tanpa transfer nyata.</t>
        </is>
      </c>
      <c r="H18" s="23" t="inlineStr">
        <is>
          <t>Refund mengikuti rumus yang disahkan dan tercatat sekali. Payout/refund final saling eksklusif.</t>
        </is>
      </c>
      <c r="I18" s="24" t="n"/>
      <c r="J18" s="25" t="inlineStr">
        <is>
          <t>Not Run</t>
        </is>
      </c>
    </row>
    <row r="19" ht="133" customHeight="1">
      <c r="A19" s="22" t="inlineStr">
        <is>
          <t>TC-20-06</t>
        </is>
      </c>
      <c r="B19" s="23" t="inlineStr">
        <is>
          <t>TS-20
Refund simulatif</t>
        </is>
      </c>
      <c r="C19" s="23" t="inlineStr">
        <is>
          <t>Potongan refund
Prioritas: P1
Desain: TBD</t>
        </is>
      </c>
      <c r="D19" s="23" t="inlineStr">
        <is>
          <t>Keputusan refund dan tujuan Buyer valid. Dasar bruto refund serta biaya Midtrans untuk order uji harus disahkan.</t>
        </is>
      </c>
      <c r="E19" s="23" t="inlineStr">
        <is>
          <t>1. Gunakan dataset perhitungan G=Rp1.010.000 dan M=Rp4.000 hanya setelah dasar G disahkan untuk order tersebut.</t>
        </is>
      </c>
      <c r="F19" s="23" t="inlineStr">
        <is>
          <t>Keputusan REFUND; tujuan Buyer; G sebagai dasar refund yang disahkan; M sebagai fee Midtrans order uji; R = G - 3 x M.
Nilai khusus: Rp1.010.000; Rp4.000.
TBD: lengkapi aturan/data yang belum disahkan sebelum menjalankan kasus ini.</t>
        </is>
      </c>
      <c r="G19" s="23" t="inlineStr">
        <is>
          <t>Potongan Rp12.000; refund Rp998.000. Ini contoh perhitungan dengan fixture M, bukan tarif resmi Midtrans.</t>
        </is>
      </c>
      <c r="H19" s="23" t="inlineStr">
        <is>
          <t>Refund mengikuti rumus yang disahkan dan tercatat sekali. Payout/refund final saling eksklusif.</t>
        </is>
      </c>
      <c r="I19" s="24" t="n"/>
      <c r="J19" s="25" t="inlineStr">
        <is>
          <t>Not Run</t>
        </is>
      </c>
    </row>
    <row r="20" ht="107" customHeight="1">
      <c r="A20" s="22" t="inlineStr">
        <is>
          <t>TC-20-07</t>
        </is>
      </c>
      <c r="B20" s="23" t="inlineStr">
        <is>
          <t>TS-20
Refund simulatif</t>
        </is>
      </c>
      <c r="C20" s="23" t="inlineStr">
        <is>
          <t>Refund negatif
Prioritas: P1
Desain: TBD</t>
        </is>
      </c>
      <c r="D20" s="23" t="inlineStr">
        <is>
          <t>Keputusan refund dan tujuan Buyer valid. Dasar bruto refund serta biaya Midtrans untuk order uji harus disahkan.</t>
        </is>
      </c>
      <c r="E20" s="23" t="inlineStr">
        <is>
          <t>1. Gunakan fixture G lebih kecil daripada 3 x M
2. ajukan settlement.</t>
        </is>
      </c>
      <c r="F20" s="23" t="inlineStr">
        <is>
          <t>Keputusan REFUND; tujuan Buyer; G sebagai dasar refund yang disahkan; M sebagai fee Midtrans order uji; R = G - 3 x M.
TBD: lengkapi aturan/data yang belum disahkan sebelum menjalankan kasus ini.</t>
        </is>
      </c>
      <c r="G20" s="23" t="inlineStr">
        <is>
          <t>Tidak ada transfer atau pencatatan nominal negatif. Perlakuan nol/penolakan mengikuti keputusan D06.</t>
        </is>
      </c>
      <c r="H20" s="23" t="inlineStr">
        <is>
          <t>Refund mengikuti rumus yang disahkan dan tercatat sekali. Payout/refund final saling eksklusif.</t>
        </is>
      </c>
      <c r="I20" s="24" t="n"/>
      <c r="J20"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20">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20"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tabColor rgb="FF3E5F91"/>
    <outlinePr summaryBelow="1" summaryRight="1"/>
    <pageSetUpPr/>
  </sheetPr>
  <dimension ref="A1:J18"/>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TS-21  Status dan riwayat</t>
        </is>
      </c>
    </row>
    <row r="3" ht="20" customHeight="1">
      <c r="A3" s="5" t="inlineStr">
        <is>
          <t>TC-21-01 sampai TC-21-05  |  5 test case  |  Rancangan revisi 0.2</t>
        </is>
      </c>
    </row>
    <row r="4">
      <c r="A4" s="3" t="n"/>
      <c r="B4" s="3" t="n"/>
      <c r="C4" s="3" t="n"/>
      <c r="D4" s="3" t="n"/>
      <c r="E4" s="3" t="n"/>
      <c r="F4" s="3" t="n"/>
      <c r="G4" s="3" t="n"/>
      <c r="H4" s="3" t="n"/>
      <c r="I4" s="3" t="n"/>
      <c r="J4" s="3" t="n"/>
    </row>
    <row r="5" ht="23" customHeight="1">
      <c r="A5" s="7" t="inlineStr">
        <is>
          <t>Module Name</t>
        </is>
      </c>
      <c r="C5" s="3" t="inlineStr">
        <is>
          <t>Status dan riwayat</t>
        </is>
      </c>
      <c r="G5" s="7" t="inlineStr">
        <is>
          <t>Scenario ID</t>
        </is>
      </c>
      <c r="I5" s="3" t="inlineStr">
        <is>
          <t>TS-21</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COUNTA(A14:A18)</f>
        <v/>
      </c>
      <c r="C11" s="13" t="inlineStr">
        <is>
          <t>Pass</t>
        </is>
      </c>
      <c r="D11" s="14">
        <f>COUNTIFS(J14:J18,"Pass")</f>
        <v/>
      </c>
      <c r="E11" s="13" t="inlineStr">
        <is>
          <t>Fail</t>
        </is>
      </c>
      <c r="F11" s="14">
        <f>COUNTIFS(J14:J18,"Fail")</f>
        <v/>
      </c>
      <c r="G11" s="13" t="inlineStr">
        <is>
          <t>Blocked</t>
        </is>
      </c>
      <c r="H11" s="14">
        <f>COUNTIFS(J14:J18,"Blocked")</f>
        <v/>
      </c>
      <c r="I11" s="13" t="inlineStr">
        <is>
          <t>Not Run</t>
        </is>
      </c>
      <c r="J11" s="14">
        <f>COUNTIFS(J14:J18,"Not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TC-21-01</t>
        </is>
      </c>
      <c r="B14" s="23" t="inlineStr">
        <is>
          <t>TS-21
Status dan riwayat</t>
        </is>
      </c>
      <c r="C14" s="23" t="inlineStr">
        <is>
          <t>Daftar pihak terkait
Prioritas: P1
Desain: Review</t>
        </is>
      </c>
      <c r="D14" s="23" t="inlineStr">
        <is>
          <t>Transaksi berbagai tahap; akun terkait/nonpihak tersedia.</t>
        </is>
      </c>
      <c r="E14" s="23" t="inlineStr">
        <is>
          <t>1. Buyer/Seller membuka daftar dan detail miliknya.</t>
        </is>
      </c>
      <c r="F14" s="23" t="inlineStr">
        <is>
          <t>Transaksi milik A-B pada PAID/CONFIRMED/COMPLETED/REFUNDED; nonpihak C; history dan audit fixture.</t>
        </is>
      </c>
      <c r="G14" s="23" t="inlineStr">
        <is>
          <t>Hanya transaksi berhak; rincian konsisten.</t>
        </is>
      </c>
      <c r="H14" s="23" t="inlineStr">
        <is>
          <t>Riwayat dan status konsisten; nonpihak tidak memperoleh transaksi, rekening, bukti atau hasil privat.</t>
        </is>
      </c>
      <c r="I14" s="24" t="n"/>
      <c r="J14" s="25" t="inlineStr">
        <is>
          <t>Not Run</t>
        </is>
      </c>
    </row>
    <row r="15" ht="100" customHeight="1">
      <c r="A15" s="22" t="inlineStr">
        <is>
          <t>TC-21-02</t>
        </is>
      </c>
      <c r="B15" s="23" t="inlineStr">
        <is>
          <t>TS-21
Status dan riwayat</t>
        </is>
      </c>
      <c r="C15" s="23" t="inlineStr">
        <is>
          <t>Pemantauan Admin
Prioritas: P1
Desain: Review</t>
        </is>
      </c>
      <c r="D15" s="23" t="inlineStr">
        <is>
          <t>Transaksi berbagai tahap; akun terkait/nonpihak tersedia.</t>
        </is>
      </c>
      <c r="E15" s="23" t="inlineStr">
        <is>
          <t>1. Admin membuka transaksi dalam kewenangannya.</t>
        </is>
      </c>
      <c r="F15" s="23" t="inlineStr">
        <is>
          <t>Transaksi milik A-B pada PAID/CONFIRMED/COMPLETED/REFUNDED; nonpihak C; history dan audit fixture.</t>
        </is>
      </c>
      <c r="G15" s="23" t="inlineStr">
        <is>
          <t>Data operasional sesuai akses tersedia.</t>
        </is>
      </c>
      <c r="H15" s="23" t="inlineStr">
        <is>
          <t>Riwayat dan status konsisten; nonpihak tidak memperoleh transaksi, rekening, bukti atau hasil privat.</t>
        </is>
      </c>
      <c r="I15" s="24" t="n"/>
      <c r="J15" s="25" t="inlineStr">
        <is>
          <t>Not Run</t>
        </is>
      </c>
    </row>
    <row r="16" ht="100" customHeight="1">
      <c r="A16" s="22" t="inlineStr">
        <is>
          <t>TC-21-03</t>
        </is>
      </c>
      <c r="B16" s="23" t="inlineStr">
        <is>
          <t>TS-21
Status dan riwayat</t>
        </is>
      </c>
      <c r="C16" s="23" t="inlineStr">
        <is>
          <t>Akses nonpihak
Prioritas: P1
Desain: Review</t>
        </is>
      </c>
      <c r="D16" s="23" t="inlineStr">
        <is>
          <t>Transaksi berbagai tahap; akun terkait/nonpihak tersedia.</t>
        </is>
      </c>
      <c r="E16" s="23" t="inlineStr">
        <is>
          <t>1. Ubah ID URL/request memakai akun lain.</t>
        </is>
      </c>
      <c r="F16" s="23" t="inlineStr">
        <is>
          <t>Transaksi milik A-B pada PAID/CONFIRMED/COMPLETED/REFUNDED; nonpihak C; history dan audit fixture.</t>
        </is>
      </c>
      <c r="G16" s="23" t="inlineStr">
        <is>
          <t>Transaksi, rekening, hasil/bukti privat tidak terbuka.</t>
        </is>
      </c>
      <c r="H16" s="23" t="inlineStr">
        <is>
          <t>Riwayat dan status konsisten; nonpihak tidak memperoleh transaksi, rekening, bukti atau hasil privat.</t>
        </is>
      </c>
      <c r="I16" s="24" t="n"/>
      <c r="J16" s="25" t="inlineStr">
        <is>
          <t>Not Run</t>
        </is>
      </c>
    </row>
    <row r="17" ht="100" customHeight="1">
      <c r="A17" s="22" t="inlineStr">
        <is>
          <t>TC-21-04</t>
        </is>
      </c>
      <c r="B17" s="23" t="inlineStr">
        <is>
          <t>TS-21
Status dan riwayat</t>
        </is>
      </c>
      <c r="C17" s="23" t="inlineStr">
        <is>
          <t>Riwayat dan audit
Prioritas: P1
Desain: Review</t>
        </is>
      </c>
      <c r="D17" s="23" t="inlineStr">
        <is>
          <t>Transaksi berbagai tahap; akun terkait/nonpihak tersedia.</t>
        </is>
      </c>
      <c r="E17" s="23" t="inlineStr">
        <is>
          <t>1. Lakukan perubahan sah
2. periksa status/history/audit.</t>
        </is>
      </c>
      <c r="F17" s="23" t="inlineStr">
        <is>
          <t>Transaksi milik A-B pada PAID/CONFIRMED/COMPLETED/REFUNDED; nonpihak C; history dan audit fixture.</t>
        </is>
      </c>
      <c r="G17" s="23" t="inlineStr">
        <is>
          <t>Urutan, from/to, pelaku/sistem, waktu/tindakan konsisten.</t>
        </is>
      </c>
      <c r="H17" s="23" t="inlineStr">
        <is>
          <t>Riwayat dan status konsisten; nonpihak tidak memperoleh transaksi, rekening, bukti atau hasil privat.</t>
        </is>
      </c>
      <c r="I17" s="24" t="n"/>
      <c r="J17" s="25" t="inlineStr">
        <is>
          <t>Not Run</t>
        </is>
      </c>
    </row>
    <row r="18" ht="100" customHeight="1">
      <c r="A18" s="22" t="inlineStr">
        <is>
          <t>TC-21-05</t>
        </is>
      </c>
      <c r="B18" s="23" t="inlineStr">
        <is>
          <t>TS-21
Status dan riwayat</t>
        </is>
      </c>
      <c r="C18" s="23" t="inlineStr">
        <is>
          <t>Perbedaan tahap
Prioritas: P1
Desain: Review</t>
        </is>
      </c>
      <c r="D18" s="23" t="inlineStr">
        <is>
          <t>Transaksi berbagai tahap; akun terkait/nonpihak tersedia.</t>
        </is>
      </c>
      <c r="E18" s="23" t="inlineStr">
        <is>
          <t>1. Bandingkan PAID, CONFIRMED, COMPLETED, REFUNDED
2. buka daftar kosong.</t>
        </is>
      </c>
      <c r="F18" s="23" t="inlineStr">
        <is>
          <t>Transaksi milik A-B pada PAID/CONFIRMED/COMPLETED/REFUNDED; nonpihak C; history dan audit fixture.</t>
        </is>
      </c>
      <c r="G18" s="23" t="inlineStr">
        <is>
          <t>Tahap dibedakan jelas; keadaan kosong tertangani.</t>
        </is>
      </c>
      <c r="H18" s="23" t="inlineStr">
        <is>
          <t>Riwayat dan status konsisten; nonpihak tidak memperoleh transaksi, rekening, bukti atau hasil privat.</t>
        </is>
      </c>
      <c r="I18" s="24" t="n"/>
      <c r="J18"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8">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8"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tabColor rgb="FF3E5F91"/>
    <outlinePr summaryBelow="1" summaryRight="1"/>
    <pageSetUpPr/>
  </sheetPr>
  <dimension ref="A1:J18"/>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TS-22  Notifikasi</t>
        </is>
      </c>
    </row>
    <row r="3" ht="20" customHeight="1">
      <c r="A3" s="5" t="inlineStr">
        <is>
          <t>TC-22-01 sampai TC-22-05  |  5 test case  |  Rancangan revisi 0.2</t>
        </is>
      </c>
    </row>
    <row r="4">
      <c r="A4" s="3" t="n"/>
      <c r="B4" s="3" t="n"/>
      <c r="C4" s="3" t="n"/>
      <c r="D4" s="3" t="n"/>
      <c r="E4" s="3" t="n"/>
      <c r="F4" s="3" t="n"/>
      <c r="G4" s="3" t="n"/>
      <c r="H4" s="3" t="n"/>
      <c r="I4" s="3" t="n"/>
      <c r="J4" s="3" t="n"/>
    </row>
    <row r="5" ht="23" customHeight="1">
      <c r="A5" s="7" t="inlineStr">
        <is>
          <t>Module Name</t>
        </is>
      </c>
      <c r="C5" s="3" t="inlineStr">
        <is>
          <t>Notifikasi</t>
        </is>
      </c>
      <c r="G5" s="7" t="inlineStr">
        <is>
          <t>Scenario ID</t>
        </is>
      </c>
      <c r="I5" s="3" t="inlineStr">
        <is>
          <t>TS-22</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COUNTA(A14:A18)</f>
        <v/>
      </c>
      <c r="C11" s="13" t="inlineStr">
        <is>
          <t>Pass</t>
        </is>
      </c>
      <c r="D11" s="14">
        <f>COUNTIFS(J14:J18,"Pass")</f>
        <v/>
      </c>
      <c r="E11" s="13" t="inlineStr">
        <is>
          <t>Fail</t>
        </is>
      </c>
      <c r="F11" s="14">
        <f>COUNTIFS(J14:J18,"Fail")</f>
        <v/>
      </c>
      <c r="G11" s="13" t="inlineStr">
        <is>
          <t>Blocked</t>
        </is>
      </c>
      <c r="H11" s="14">
        <f>COUNTIFS(J14:J18,"Blocked")</f>
        <v/>
      </c>
      <c r="I11" s="13" t="inlineStr">
        <is>
          <t>Not Run</t>
        </is>
      </c>
      <c r="J11" s="14">
        <f>COUNTIFS(J14:J18,"Not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TC-22-01</t>
        </is>
      </c>
      <c r="B14" s="23" t="inlineStr">
        <is>
          <t>TS-22
Notifikasi</t>
        </is>
      </c>
      <c r="C14" s="23" t="inlineStr">
        <is>
          <t>Penerima dan event
Prioritas: P2
Desain: Review</t>
        </is>
      </c>
      <c r="D14" s="23" t="inlineStr">
        <is>
          <t>Event payment, penyerahan, komplain, konfirmasi, settlement tersedia.</t>
        </is>
      </c>
      <c r="E14" s="23" t="inlineStr">
        <is>
          <t>1. Jalankan tiap event penting
2. cek penerima.</t>
        </is>
      </c>
      <c r="F14" s="23" t="inlineStr">
        <is>
          <t>Event payment, penyerahan, komplain, konfirmasi dan settlement; notifikasi milik A/B, akun tanpa notifikasi, akun nonpihak C.</t>
        </is>
      </c>
      <c r="G14" s="23" t="inlineStr">
        <is>
          <t>Jenis/waktu/pesan/rujukan benar; hanya pihak relevan.</t>
        </is>
      </c>
      <c r="H14" s="23" t="inlineStr">
        <is>
          <t>Notifikasi/read_at hanya berubah untuk penerima yang benar; event ulang tidak menggandakan notifikasi bisnis.</t>
        </is>
      </c>
      <c r="I14" s="24" t="n"/>
      <c r="J14" s="25" t="inlineStr">
        <is>
          <t>Not Run</t>
        </is>
      </c>
    </row>
    <row r="15" ht="100" customHeight="1">
      <c r="A15" s="22" t="inlineStr">
        <is>
          <t>TC-22-02</t>
        </is>
      </c>
      <c r="B15" s="23" t="inlineStr">
        <is>
          <t>TS-22
Notifikasi</t>
        </is>
      </c>
      <c r="C15" s="23" t="inlineStr">
        <is>
          <t>Status baca
Prioritas: P2
Desain: Review</t>
        </is>
      </c>
      <c r="D15" s="23" t="inlineStr">
        <is>
          <t>Event payment, penyerahan, komplain, konfirmasi, settlement tersedia.</t>
        </is>
      </c>
      <c r="E15" s="23" t="inlineStr">
        <is>
          <t>1. Buka notifikasi belum dibaca.</t>
        </is>
      </c>
      <c r="F15" s="23" t="inlineStr">
        <is>
          <t>Event payment, penyerahan, komplain, konfirmasi dan settlement; notifikasi milik A/B, akun tanpa notifikasi, akun nonpihak C.</t>
        </is>
      </c>
      <c r="G15" s="23" t="inlineStr">
        <is>
          <t>read_at berubah hanya pada notifikasi miliknya.</t>
        </is>
      </c>
      <c r="H15" s="23" t="inlineStr">
        <is>
          <t>Notifikasi/read_at hanya berubah untuk penerima yang benar; event ulang tidak menggandakan notifikasi bisnis.</t>
        </is>
      </c>
      <c r="I15" s="24" t="n"/>
      <c r="J15" s="25" t="inlineStr">
        <is>
          <t>Not Run</t>
        </is>
      </c>
    </row>
    <row r="16" ht="100" customHeight="1">
      <c r="A16" s="22" t="inlineStr">
        <is>
          <t>TC-22-03</t>
        </is>
      </c>
      <c r="B16" s="23" t="inlineStr">
        <is>
          <t>TS-22
Notifikasi</t>
        </is>
      </c>
      <c r="C16" s="23" t="inlineStr">
        <is>
          <t>Tanpa notifikasi
Prioritas: P2
Desain: Review</t>
        </is>
      </c>
      <c r="D16" s="23" t="inlineStr">
        <is>
          <t>Event payment, penyerahan, komplain, konfirmasi, settlement tersedia.</t>
        </is>
      </c>
      <c r="E16" s="23" t="inlineStr">
        <is>
          <t>1. Buka akun tanpa notifikasi.</t>
        </is>
      </c>
      <c r="F16" s="23" t="inlineStr">
        <is>
          <t>Event payment, penyerahan, komplain, konfirmasi dan settlement; notifikasi milik A/B, akun tanpa notifikasi, akun nonpihak C.</t>
        </is>
      </c>
      <c r="G16" s="23" t="inlineStr">
        <is>
          <t>Keadaan kosong jelas.</t>
        </is>
      </c>
      <c r="H16" s="23" t="inlineStr">
        <is>
          <t>Notifikasi/read_at hanya berubah untuk penerima yang benar; event ulang tidak menggandakan notifikasi bisnis.</t>
        </is>
      </c>
      <c r="I16" s="24" t="n"/>
      <c r="J16" s="25" t="inlineStr">
        <is>
          <t>Not Run</t>
        </is>
      </c>
    </row>
    <row r="17" ht="100" customHeight="1">
      <c r="A17" s="22" t="inlineStr">
        <is>
          <t>TC-22-04</t>
        </is>
      </c>
      <c r="B17" s="23" t="inlineStr">
        <is>
          <t>TS-22
Notifikasi</t>
        </is>
      </c>
      <c r="C17" s="23" t="inlineStr">
        <is>
          <t>Akses pihak lain
Prioritas: P2
Desain: Review</t>
        </is>
      </c>
      <c r="D17" s="23" t="inlineStr">
        <is>
          <t>Event payment, penyerahan, komplain, konfirmasi, settlement tersedia.</t>
        </is>
      </c>
      <c r="E17" s="23" t="inlineStr">
        <is>
          <t>1. Buka ID notifikasi/rujukan privat dengan akun lain.</t>
        </is>
      </c>
      <c r="F17" s="23" t="inlineStr">
        <is>
          <t>Event payment, penyerahan, komplain, konfirmasi dan settlement; notifikasi milik A/B, akun tanpa notifikasi, akun nonpihak C.</t>
        </is>
      </c>
      <c r="G17" s="23" t="inlineStr">
        <is>
          <t>Ditolak.</t>
        </is>
      </c>
      <c r="H17" s="23" t="inlineStr">
        <is>
          <t>Notifikasi/read_at hanya berubah untuk penerima yang benar; event ulang tidak menggandakan notifikasi bisnis.</t>
        </is>
      </c>
      <c r="I17" s="24" t="n"/>
      <c r="J17" s="25" t="inlineStr">
        <is>
          <t>Not Run</t>
        </is>
      </c>
    </row>
    <row r="18" ht="100" customHeight="1">
      <c r="A18" s="22" t="inlineStr">
        <is>
          <t>TC-22-05</t>
        </is>
      </c>
      <c r="B18" s="23" t="inlineStr">
        <is>
          <t>TS-22
Notifikasi</t>
        </is>
      </c>
      <c r="C18" s="23" t="inlineStr">
        <is>
          <t>Event ulang
Prioritas: P2
Desain: Review</t>
        </is>
      </c>
      <c r="D18" s="23" t="inlineStr">
        <is>
          <t>Event payment, penyerahan, komplain, konfirmasi, settlement tersedia.</t>
        </is>
      </c>
      <c r="E18" s="23" t="inlineStr">
        <is>
          <t>1. Proses ulang event/callback sama.</t>
        </is>
      </c>
      <c r="F18" s="23" t="inlineStr">
        <is>
          <t>Event payment, penyerahan, komplain, konfirmasi dan settlement; notifikasi milik A/B, akun tanpa notifikasi, akun nonpihak C.</t>
        </is>
      </c>
      <c r="G18" s="23" t="inlineStr">
        <is>
          <t>Tidak ada notifikasi bisnis ganda; siap payout bukan payout selesai.</t>
        </is>
      </c>
      <c r="H18" s="23" t="inlineStr">
        <is>
          <t>Notifikasi/read_at hanya berubah untuk penerima yang benar; event ulang tidak menggandakan notifikasi bisnis.</t>
        </is>
      </c>
      <c r="I18" s="24" t="n"/>
      <c r="J18"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8">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8"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tabColor rgb="FF3E5F91"/>
    <outlinePr summaryBelow="1" summaryRight="1"/>
    <pageSetUpPr/>
  </sheetPr>
  <dimension ref="A1:J18"/>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TS-23  Kontribusi dan reputasi</t>
        </is>
      </c>
    </row>
    <row r="3" ht="20" customHeight="1">
      <c r="A3" s="5" t="inlineStr">
        <is>
          <t>TC-23-01 sampai TC-23-05  |  5 test case  |  Rancangan revisi 0.2</t>
        </is>
      </c>
    </row>
    <row r="4">
      <c r="A4" s="3" t="n"/>
      <c r="B4" s="3" t="n"/>
      <c r="C4" s="3" t="n"/>
      <c r="D4" s="3" t="n"/>
      <c r="E4" s="3" t="n"/>
      <c r="F4" s="3" t="n"/>
      <c r="G4" s="3" t="n"/>
      <c r="H4" s="3" t="n"/>
      <c r="I4" s="3" t="n"/>
      <c r="J4" s="3" t="n"/>
    </row>
    <row r="5" ht="23" customHeight="1">
      <c r="A5" s="7" t="inlineStr">
        <is>
          <t>Module Name</t>
        </is>
      </c>
      <c r="C5" s="3" t="inlineStr">
        <is>
          <t>Kontribusi dan reputasi</t>
        </is>
      </c>
      <c r="G5" s="7" t="inlineStr">
        <is>
          <t>Scenario ID</t>
        </is>
      </c>
      <c r="I5" s="3" t="inlineStr">
        <is>
          <t>TS-23</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COUNTA(A14:A18)</f>
        <v/>
      </c>
      <c r="C11" s="13" t="inlineStr">
        <is>
          <t>Pass</t>
        </is>
      </c>
      <c r="D11" s="14">
        <f>COUNTIFS(J14:J18,"Pass")</f>
        <v/>
      </c>
      <c r="E11" s="13" t="inlineStr">
        <is>
          <t>Fail</t>
        </is>
      </c>
      <c r="F11" s="14">
        <f>COUNTIFS(J14:J18,"Fail")</f>
        <v/>
      </c>
      <c r="G11" s="13" t="inlineStr">
        <is>
          <t>Blocked</t>
        </is>
      </c>
      <c r="H11" s="14">
        <f>COUNTIFS(J14:J18,"Blocked")</f>
        <v/>
      </c>
      <c r="I11" s="13" t="inlineStr">
        <is>
          <t>Not Run</t>
        </is>
      </c>
      <c r="J11" s="14">
        <f>COUNTIFS(J14:J18,"Not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7" customHeight="1">
      <c r="A14" s="22" t="inlineStr">
        <is>
          <t>TC-23-01</t>
        </is>
      </c>
      <c r="B14" s="23" t="inlineStr">
        <is>
          <t>TS-23
Kontribusi dan reputasi</t>
        </is>
      </c>
      <c r="C14" s="23" t="inlineStr">
        <is>
          <t>Total poin
Prioritas: P2
Desain: TBD</t>
        </is>
      </c>
      <c r="D14" s="23" t="inlineStr">
        <is>
          <t>reputation_events tersedia; bobot/visibilitas TBD.</t>
        </is>
      </c>
      <c r="E14" s="23" t="inlineStr">
        <is>
          <t>1. Fixture +10, +5, -3
2. buka indikator.</t>
        </is>
      </c>
      <c r="F14" s="23" t="inlineStr">
        <is>
          <t>reputation_events fixture; poin +10, +5, -3; event_key sama/berbeda; keputusan review dan visibilitas mengikuti D10.
TBD: lengkapi aturan/data yang belum disahkan sebelum menjalankan kasus ini.</t>
        </is>
      </c>
      <c r="G14" s="23" t="inlineStr">
        <is>
          <t>Total 12; arti poin dijelaskan.</t>
        </is>
      </c>
      <c r="H14" s="23" t="inlineStr">
        <is>
          <t>Poin dan label mengikuti event/keputusan sah; event ulang tidak menggandakan poin; bukti privat tetap tertutup.</t>
        </is>
      </c>
      <c r="I14" s="24" t="n"/>
      <c r="J14" s="25" t="inlineStr">
        <is>
          <t>Not Run</t>
        </is>
      </c>
    </row>
    <row r="15" ht="107" customHeight="1">
      <c r="A15" s="22" t="inlineStr">
        <is>
          <t>TC-23-02</t>
        </is>
      </c>
      <c r="B15" s="23" t="inlineStr">
        <is>
          <t>TS-23
Kontribusi dan reputasi</t>
        </is>
      </c>
      <c r="C15" s="23" t="inlineStr">
        <is>
          <t>Event transaksi
Prioritas: P2
Desain: TBD</t>
        </is>
      </c>
      <c r="D15" s="23" t="inlineStr">
        <is>
          <t>reputation_events tersedia; bobot/visibilitas TBD.</t>
        </is>
      </c>
      <c r="E15" s="23" t="inlineStr">
        <is>
          <t>1. Selesaikan transaksi memenuhi rule poin.</t>
        </is>
      </c>
      <c r="F15" s="23" t="inlineStr">
        <is>
          <t>reputation_events fixture; poin +10, +5, -3; event_key sama/berbeda; keputusan review dan visibilitas mengikuti D10.
TBD: lengkapi aturan/data yang belum disahkan sebelum menjalankan kasus ini.</t>
        </is>
      </c>
      <c r="G15" s="23" t="inlineStr">
        <is>
          <t>Event sesuai bobot; yang belum memenuhi syarat tidak mendapat poin.</t>
        </is>
      </c>
      <c r="H15" s="23" t="inlineStr">
        <is>
          <t>Poin dan label mengikuti event/keputusan sah; event ulang tidak menggandakan poin; bukti privat tetap tertutup.</t>
        </is>
      </c>
      <c r="I15" s="24" t="n"/>
      <c r="J15" s="25" t="inlineStr">
        <is>
          <t>Not Run</t>
        </is>
      </c>
    </row>
    <row r="16" ht="107" customHeight="1">
      <c r="A16" s="22" t="inlineStr">
        <is>
          <t>TC-23-03</t>
        </is>
      </c>
      <c r="B16" s="23" t="inlineStr">
        <is>
          <t>TS-23
Kontribusi dan reputasi</t>
        </is>
      </c>
      <c r="C16" s="23" t="inlineStr">
        <is>
          <t>Event ulang
Prioritas: P2
Desain: TBD</t>
        </is>
      </c>
      <c r="D16" s="23" t="inlineStr">
        <is>
          <t>reputation_events tersedia; bobot/visibilitas TBD.</t>
        </is>
      </c>
      <c r="E16" s="23" t="inlineStr">
        <is>
          <t>1. Proses ulang event transaksi sama.</t>
        </is>
      </c>
      <c r="F16" s="23" t="inlineStr">
        <is>
          <t>reputation_events fixture; poin +10, +5, -3; event_key sama/berbeda; keputusan review dan visibilitas mengikuti D10.
TBD: lengkapi aturan/data yang belum disahkan sebelum menjalankan kasus ini.</t>
        </is>
      </c>
      <c r="G16" s="23" t="inlineStr">
        <is>
          <t>event_key mencegah poin ganda.</t>
        </is>
      </c>
      <c r="H16" s="23" t="inlineStr">
        <is>
          <t>Poin dan label mengikuti event/keputusan sah; event ulang tidak menggandakan poin; bukti privat tetap tertutup.</t>
        </is>
      </c>
      <c r="I16" s="24" t="n"/>
      <c r="J16" s="25" t="inlineStr">
        <is>
          <t>Not Run</t>
        </is>
      </c>
    </row>
    <row r="17" ht="107" customHeight="1">
      <c r="A17" s="22" t="inlineStr">
        <is>
          <t>TC-23-04</t>
        </is>
      </c>
      <c r="B17" s="23" t="inlineStr">
        <is>
          <t>TS-23
Kontribusi dan reputasi</t>
        </is>
      </c>
      <c r="C17" s="23" t="inlineStr">
        <is>
          <t>Status terpisah
Prioritas: P2
Desain: TBD</t>
        </is>
      </c>
      <c r="D17" s="23" t="inlineStr">
        <is>
          <t>reputation_events tersedia; bobot/visibilitas TBD.</t>
        </is>
      </c>
      <c r="E17" s="23" t="inlineStr">
        <is>
          <t>1. Uji poin tinggi tanpa keputusan dan akun dengan keputusan.</t>
        </is>
      </c>
      <c r="F17" s="23" t="inlineStr">
        <is>
          <t>reputation_events fixture; poin +10, +5, -3; event_key sama/berbeda; keputusan review dan visibilitas mengikuti D10.
TBD: lengkapi aturan/data yang belum disahkan sebelum menjalankan kasus ini.</t>
        </is>
      </c>
      <c r="G17" s="23" t="inlineStr">
        <is>
          <t>Tanpa keputusan: Belum ditinjau; status mengikuti keputusan terbaru, bukan ambang poin.</t>
        </is>
      </c>
      <c r="H17" s="23" t="inlineStr">
        <is>
          <t>Poin dan label mengikuti event/keputusan sah; event ulang tidak menggandakan poin; bukti privat tetap tertutup.</t>
        </is>
      </c>
      <c r="I17" s="24" t="n"/>
      <c r="J17" s="25" t="inlineStr">
        <is>
          <t>Not Run</t>
        </is>
      </c>
    </row>
    <row r="18" ht="107" customHeight="1">
      <c r="A18" s="22" t="inlineStr">
        <is>
          <t>TC-23-05</t>
        </is>
      </c>
      <c r="B18" s="23" t="inlineStr">
        <is>
          <t>TS-23
Kontribusi dan reputasi</t>
        </is>
      </c>
      <c r="C18" s="23" t="inlineStr">
        <is>
          <t>Visibilitas
Prioritas: P2
Desain: TBD</t>
        </is>
      </c>
      <c r="D18" s="23" t="inlineStr">
        <is>
          <t>reputation_events tersedia; bobot/visibilitas TBD.</t>
        </is>
      </c>
      <c r="E18" s="23" t="inlineStr">
        <is>
          <t>1. Buka sebagai pemilik, pengguna lain, Admin.</t>
        </is>
      </c>
      <c r="F18" s="23" t="inlineStr">
        <is>
          <t>reputation_events fixture; poin +10, +5, -3; event_key sama/berbeda; keputusan review dan visibilitas mengikuti D10.
TBD: lengkapi aturan/data yang belum disahkan sebelum menjalankan kasus ini.</t>
        </is>
      </c>
      <c r="G18" s="23" t="inlineStr">
        <is>
          <t>Sesuai kebijakan; bukti/alasan privat tidak bocor.</t>
        </is>
      </c>
      <c r="H18" s="23" t="inlineStr">
        <is>
          <t>Poin dan label mengikuti event/keputusan sah; event ulang tidak menggandakan poin; bukti privat tetap tertutup.</t>
        </is>
      </c>
      <c r="I18" s="24" t="n"/>
      <c r="J18"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8">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8"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tabColor rgb="FF3E5F91"/>
    <outlinePr summaryBelow="1" summaryRight="1"/>
    <pageSetUpPr/>
  </sheetPr>
  <dimension ref="A1:J19"/>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TS-24  Peninjauan akun</t>
        </is>
      </c>
    </row>
    <row r="3" ht="20" customHeight="1">
      <c r="A3" s="5" t="inlineStr">
        <is>
          <t>TC-24-01 sampai TC-24-06  |  6 test case  |  Rancangan revisi 0.2</t>
        </is>
      </c>
    </row>
    <row r="4">
      <c r="A4" s="3" t="n"/>
      <c r="B4" s="3" t="n"/>
      <c r="C4" s="3" t="n"/>
      <c r="D4" s="3" t="n"/>
      <c r="E4" s="3" t="n"/>
      <c r="F4" s="3" t="n"/>
      <c r="G4" s="3" t="n"/>
      <c r="H4" s="3" t="n"/>
      <c r="I4" s="3" t="n"/>
      <c r="J4" s="3" t="n"/>
    </row>
    <row r="5" ht="23" customHeight="1">
      <c r="A5" s="7" t="inlineStr">
        <is>
          <t>Module Name</t>
        </is>
      </c>
      <c r="C5" s="3" t="inlineStr">
        <is>
          <t>Peninjauan akun</t>
        </is>
      </c>
      <c r="G5" s="7" t="inlineStr">
        <is>
          <t>Scenario ID</t>
        </is>
      </c>
      <c r="I5" s="3" t="inlineStr">
        <is>
          <t>TS-24</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COUNTA(A14:A19)</f>
        <v/>
      </c>
      <c r="C11" s="13" t="inlineStr">
        <is>
          <t>Pass</t>
        </is>
      </c>
      <c r="D11" s="14">
        <f>COUNTIFS(J14:J19,"Pass")</f>
        <v/>
      </c>
      <c r="E11" s="13" t="inlineStr">
        <is>
          <t>Fail</t>
        </is>
      </c>
      <c r="F11" s="14">
        <f>COUNTIFS(J14:J19,"Fail")</f>
        <v/>
      </c>
      <c r="G11" s="13" t="inlineStr">
        <is>
          <t>Blocked</t>
        </is>
      </c>
      <c r="H11" s="14">
        <f>COUNTIFS(J14:J19,"Blocked")</f>
        <v/>
      </c>
      <c r="I11" s="13" t="inlineStr">
        <is>
          <t>Not Run</t>
        </is>
      </c>
      <c r="J11" s="14">
        <f>COUNTIFS(J14:J19,"Not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7" customHeight="1">
      <c r="A14" s="22" t="inlineStr">
        <is>
          <t>TC-24-01</t>
        </is>
      </c>
      <c r="B14" s="23" t="inlineStr">
        <is>
          <t>TS-24
Peninjauan akun</t>
        </is>
      </c>
      <c r="C14" s="23" t="inlineStr">
        <is>
          <t>Laporan valid
Prioritas: P2
Desain: TBD</t>
        </is>
      </c>
      <c r="D14" s="23" t="inlineStr">
        <is>
          <t>Target, laporan, bukti tersedia; pengajuan laporan alur pendukung.</t>
        </is>
      </c>
      <c r="E14" s="23" t="inlineStr">
        <is>
          <t>1. Isi target/alasan/bukti melalui alur yang disepakati.</t>
        </is>
      </c>
      <c r="F14" s="23" t="inlineStr">
        <is>
          <t>Pelapor, target akun dan Admin QA; alasan serta bukti laporan; kasus OPEN dan keputusan review fixture.
TBD: lengkapi aturan/data yang belum disahkan sebelum menjalankan kasus ini.</t>
        </is>
      </c>
      <c r="G14" s="23" t="inlineStr">
        <is>
          <t>Sumber, pelapor, target/konteks benar tersimpan.</t>
        </is>
      </c>
      <c r="H14" s="23" t="inlineStr">
        <is>
          <t>Keputusan review hanya oleh Admin berwenang; laporan belum terbukti tidak otomatis memberi label problematik.</t>
        </is>
      </c>
      <c r="I14" s="24" t="n"/>
      <c r="J14" s="25" t="inlineStr">
        <is>
          <t>Not Run</t>
        </is>
      </c>
    </row>
    <row r="15" ht="107" customHeight="1">
      <c r="A15" s="22" t="inlineStr">
        <is>
          <t>TC-24-02</t>
        </is>
      </c>
      <c r="B15" s="23" t="inlineStr">
        <is>
          <t>TS-24
Peninjauan akun</t>
        </is>
      </c>
      <c r="C15" s="23" t="inlineStr">
        <is>
          <t>Laporan tidak valid
Prioritas: P2
Desain: TBD</t>
        </is>
      </c>
      <c r="D15" s="23" t="inlineStr">
        <is>
          <t>Target, laporan, bukti tersedia; pengajuan laporan alur pendukung.</t>
        </is>
      </c>
      <c r="E15" s="23" t="inlineStr">
        <is>
          <t>1. Uji target tidak ada, alasan/bukti wajib kosong.</t>
        </is>
      </c>
      <c r="F15" s="23" t="inlineStr">
        <is>
          <t>Pelapor, target akun dan Admin QA; alasan serta bukti laporan; kasus OPEN dan keputusan review fixture.
TBD: lengkapi aturan/data yang belum disahkan sebelum menjalankan kasus ini.</t>
        </is>
      </c>
      <c r="G15" s="23" t="inlineStr">
        <is>
          <t>Ditolak tanpa kasus tidak konsisten.</t>
        </is>
      </c>
      <c r="H15" s="23" t="inlineStr">
        <is>
          <t>Keputusan review hanya oleh Admin berwenang; laporan belum terbukti tidak otomatis memberi label problematik.</t>
        </is>
      </c>
      <c r="I15" s="24" t="n"/>
      <c r="J15" s="25" t="inlineStr">
        <is>
          <t>Not Run</t>
        </is>
      </c>
    </row>
    <row r="16" ht="107" customHeight="1">
      <c r="A16" s="22" t="inlineStr">
        <is>
          <t>TC-24-03</t>
        </is>
      </c>
      <c r="B16" s="23" t="inlineStr">
        <is>
          <t>TS-24
Peninjauan akun</t>
        </is>
      </c>
      <c r="C16" s="23" t="inlineStr">
        <is>
          <t>Review Admin
Prioritas: P2
Desain: TBD</t>
        </is>
      </c>
      <c r="D16" s="23" t="inlineStr">
        <is>
          <t>Target, laporan, bukti tersedia; pengajuan laporan alur pendukung.</t>
        </is>
      </c>
      <c r="E16" s="23" t="inlineStr">
        <is>
          <t>1. Admin membuka laporan/konteks/bukti.</t>
        </is>
      </c>
      <c r="F16" s="23" t="inlineStr">
        <is>
          <t>Pelapor, target akun dan Admin QA; alasan serta bukti laporan; kasus OPEN dan keputusan review fixture.
TBD: lengkapi aturan/data yang belum disahkan sebelum menjalankan kasus ini.</t>
        </is>
      </c>
      <c r="G16" s="23" t="inlineStr">
        <is>
          <t>Informasi diperlukan tersedia; akses dibatasi.</t>
        </is>
      </c>
      <c r="H16" s="23" t="inlineStr">
        <is>
          <t>Keputusan review hanya oleh Admin berwenang; laporan belum terbukti tidak otomatis memberi label problematik.</t>
        </is>
      </c>
      <c r="I16" s="24" t="n"/>
      <c r="J16" s="25" t="inlineStr">
        <is>
          <t>Not Run</t>
        </is>
      </c>
    </row>
    <row r="17" ht="107" customHeight="1">
      <c r="A17" s="22" t="inlineStr">
        <is>
          <t>TC-24-04</t>
        </is>
      </c>
      <c r="B17" s="23" t="inlineStr">
        <is>
          <t>TS-24
Peninjauan akun</t>
        </is>
      </c>
      <c r="C17" s="23" t="inlineStr">
        <is>
          <t>Keputusan review
Prioritas: P2
Desain: TBD</t>
        </is>
      </c>
      <c r="D17" s="23" t="inlineStr">
        <is>
          <t>Target, laporan, bukti tersedia; pengajuan laporan alur pendukung.</t>
        </is>
      </c>
      <c r="E17" s="23" t="inlineStr">
        <is>
          <t>1. Selesaikan/tolak laporan
2. tetapkan status bila perlu
3. isi alasan.</t>
        </is>
      </c>
      <c r="F17" s="23" t="inlineStr">
        <is>
          <t>Pelapor, target akun dan Admin QA; alasan serta bukti laporan; kasus OPEN dan keputusan review fixture.
TBD: lengkapi aturan/data yang belum disahkan sebelum menjalankan kasus ini.</t>
        </is>
      </c>
      <c r="G17" s="23" t="inlineStr">
        <is>
          <t>Keputusan/alasan/pelaku/waktu dan event terkait tercatat.</t>
        </is>
      </c>
      <c r="H17" s="23" t="inlineStr">
        <is>
          <t>Keputusan review hanya oleh Admin berwenang; laporan belum terbukti tidak otomatis memberi label problematik.</t>
        </is>
      </c>
      <c r="I17" s="24" t="n"/>
      <c r="J17" s="25" t="inlineStr">
        <is>
          <t>Not Run</t>
        </is>
      </c>
    </row>
    <row r="18" ht="107" customHeight="1">
      <c r="A18" s="22" t="inlineStr">
        <is>
          <t>TC-24-05</t>
        </is>
      </c>
      <c r="B18" s="23" t="inlineStr">
        <is>
          <t>TS-24
Peninjauan akun</t>
        </is>
      </c>
      <c r="C18" s="23" t="inlineStr">
        <is>
          <t>Belum terbukti
Prioritas: P2
Desain: TBD</t>
        </is>
      </c>
      <c r="D18" s="23" t="inlineStr">
        <is>
          <t>Target, laporan, bukti tersedia; pengajuan laporan alur pendukung.</t>
        </is>
      </c>
      <c r="E18" s="23" t="inlineStr">
        <is>
          <t>1. Buat laporan OPEN
2. periksa profil.</t>
        </is>
      </c>
      <c r="F18" s="23" t="inlineStr">
        <is>
          <t>Pelapor, target akun dan Admin QA; alasan serta bukti laporan; kasus OPEN dan keputusan review fixture.
TBD: lengkapi aturan/data yang belum disahkan sebelum menjalankan kasus ini.</t>
        </is>
      </c>
      <c r="G18" s="23" t="inlineStr">
        <is>
          <t>Tidak otomatis mengurangi poin/memberi label PROBLEMATIC.</t>
        </is>
      </c>
      <c r="H18" s="23" t="inlineStr">
        <is>
          <t>Keputusan review hanya oleh Admin berwenang; laporan belum terbukti tidak otomatis memberi label problematik.</t>
        </is>
      </c>
      <c r="I18" s="24" t="n"/>
      <c r="J18" s="25" t="inlineStr">
        <is>
          <t>Not Run</t>
        </is>
      </c>
    </row>
    <row r="19" ht="107" customHeight="1">
      <c r="A19" s="22" t="inlineStr">
        <is>
          <t>TC-24-06</t>
        </is>
      </c>
      <c r="B19" s="23" t="inlineStr">
        <is>
          <t>TS-24
Peninjauan akun</t>
        </is>
      </c>
      <c r="C19" s="23" t="inlineStr">
        <is>
          <t>Privasi dan akses
Prioritas: P2
Desain: TBD</t>
        </is>
      </c>
      <c r="D19" s="23" t="inlineStr">
        <is>
          <t>Target, laporan, bukti tersedia; pengajuan laporan alur pendukung.</t>
        </is>
      </c>
      <c r="E19" s="23" t="inlineStr">
        <is>
          <t>1. USER melihat bukti privat, review, ubah reputasi.</t>
        </is>
      </c>
      <c r="F19" s="23" t="inlineStr">
        <is>
          <t>Pelapor, target akun dan Admin QA; alasan serta bukti laporan; kasus OPEN dan keputusan review fixture.
TBD: lengkapi aturan/data yang belum disahkan sebelum menjalankan kasus ini.</t>
        </is>
      </c>
      <c r="G19" s="23" t="inlineStr">
        <is>
          <t>Ditolak; laporan bukan tuduhan publik sebelum keputusan.</t>
        </is>
      </c>
      <c r="H19" s="23" t="inlineStr">
        <is>
          <t>Keputusan review hanya oleh Admin berwenang; laporan belum terbukti tidak otomatis memberi label problematik.</t>
        </is>
      </c>
      <c r="I19" s="24" t="n"/>
      <c r="J19"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9">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9"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tabColor rgb="FF3E5F91"/>
    <outlinePr summaryBelow="1" summaryRight="1"/>
    <pageSetUpPr/>
  </sheetPr>
  <dimension ref="A1:J19"/>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TS-25  Kategori produk varian</t>
        </is>
      </c>
    </row>
    <row r="3" ht="20" customHeight="1">
      <c r="A3" s="5" t="inlineStr">
        <is>
          <t>TC-25-01 sampai TC-25-06  |  6 test case  |  Rancangan revisi 0.2</t>
        </is>
      </c>
    </row>
    <row r="4">
      <c r="A4" s="3" t="n"/>
      <c r="B4" s="3" t="n"/>
      <c r="C4" s="3" t="n"/>
      <c r="D4" s="3" t="n"/>
      <c r="E4" s="3" t="n"/>
      <c r="F4" s="3" t="n"/>
      <c r="G4" s="3" t="n"/>
      <c r="H4" s="3" t="n"/>
      <c r="I4" s="3" t="n"/>
      <c r="J4" s="3" t="n"/>
    </row>
    <row r="5" ht="23" customHeight="1">
      <c r="A5" s="7" t="inlineStr">
        <is>
          <t>Module Name</t>
        </is>
      </c>
      <c r="C5" s="3" t="inlineStr">
        <is>
          <t>Kategori produk varian</t>
        </is>
      </c>
      <c r="G5" s="7" t="inlineStr">
        <is>
          <t>Scenario ID</t>
        </is>
      </c>
      <c r="I5" s="3" t="inlineStr">
        <is>
          <t>TS-25</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COUNTA(A14:A19)</f>
        <v/>
      </c>
      <c r="C11" s="13" t="inlineStr">
        <is>
          <t>Pass</t>
        </is>
      </c>
      <c r="D11" s="14">
        <f>COUNTIFS(J14:J19,"Pass")</f>
        <v/>
      </c>
      <c r="E11" s="13" t="inlineStr">
        <is>
          <t>Fail</t>
        </is>
      </c>
      <c r="F11" s="14">
        <f>COUNTIFS(J14:J19,"Fail")</f>
        <v/>
      </c>
      <c r="G11" s="13" t="inlineStr">
        <is>
          <t>Blocked</t>
        </is>
      </c>
      <c r="H11" s="14">
        <f>COUNTIFS(J14:J19,"Blocked")</f>
        <v/>
      </c>
      <c r="I11" s="13" t="inlineStr">
        <is>
          <t>Not Run</t>
        </is>
      </c>
      <c r="J11" s="14">
        <f>COUNTIFS(J14:J19,"Not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TC-25-01</t>
        </is>
      </c>
      <c r="B14" s="23" t="inlineStr">
        <is>
          <t>TS-25
Kategori produk varian</t>
        </is>
      </c>
      <c r="C14" s="23" t="inlineStr">
        <is>
          <t>Buat katalog
Prioritas: P2
Desain: Review</t>
        </is>
      </c>
      <c r="D14" s="23" t="inlineStr">
        <is>
          <t>Admin/USER aktif; katalog tersedia.</t>
        </is>
      </c>
      <c r="E14" s="23" t="inlineStr">
        <is>
          <t>1. Admin buat kategori, produk, varian valid.</t>
        </is>
      </c>
      <c r="F14" s="23" t="inlineStr">
        <is>
          <t>Admin QA/USER; kategori, produk, varian baru/duplikat; parent valid/tidak ada dan katalog yang sudah dipakai.</t>
        </is>
      </c>
      <c r="G14" s="23" t="inlineStr">
        <is>
          <t>Relasi kategori–produk–varian benar.</t>
        </is>
      </c>
      <c r="H14" s="23" t="inlineStr">
        <is>
          <t>Relasi katalog tetap sah; snapshot lama utuh; USER dan data tidak valid tidak mengubah katalog.</t>
        </is>
      </c>
      <c r="I14" s="24" t="n"/>
      <c r="J14" s="25" t="inlineStr">
        <is>
          <t>Not Run</t>
        </is>
      </c>
    </row>
    <row r="15" ht="100" customHeight="1">
      <c r="A15" s="22" t="inlineStr">
        <is>
          <t>TC-25-02</t>
        </is>
      </c>
      <c r="B15" s="23" t="inlineStr">
        <is>
          <t>TS-25
Kategori produk varian</t>
        </is>
      </c>
      <c r="C15" s="23" t="inlineStr">
        <is>
          <t>Ubah katalog
Prioritas: P2
Desain: Review</t>
        </is>
      </c>
      <c r="D15" s="23" t="inlineStr">
        <is>
          <t>Admin/USER aktif; katalog tersedia.</t>
        </is>
      </c>
      <c r="E15" s="23" t="inlineStr">
        <is>
          <t>1. Ubah nama/deskripsi.</t>
        </is>
      </c>
      <c r="F15" s="23" t="inlineStr">
        <is>
          <t>Admin QA/USER; kategori, produk, varian baru/duplikat; parent valid/tidak ada dan katalog yang sudah dipakai.</t>
        </is>
      </c>
      <c r="G15" s="23" t="inlineStr">
        <is>
          <t>Penggunaan baru berubah; snapshot lama tetap.</t>
        </is>
      </c>
      <c r="H15" s="23" t="inlineStr">
        <is>
          <t>Relasi katalog tetap sah; snapshot lama utuh; USER dan data tidak valid tidak mengubah katalog.</t>
        </is>
      </c>
      <c r="I15" s="24" t="n"/>
      <c r="J15" s="25" t="inlineStr">
        <is>
          <t>Not Run</t>
        </is>
      </c>
    </row>
    <row r="16" ht="100" customHeight="1">
      <c r="A16" s="22" t="inlineStr">
        <is>
          <t>TC-25-03</t>
        </is>
      </c>
      <c r="B16" s="23" t="inlineStr">
        <is>
          <t>TS-25
Kategori produk varian</t>
        </is>
      </c>
      <c r="C16" s="23" t="inlineStr">
        <is>
          <t>Duplikasi
Prioritas: P2
Desain: Review</t>
        </is>
      </c>
      <c r="D16" s="23" t="inlineStr">
        <is>
          <t>Admin/USER aktif; katalog tersedia.</t>
        </is>
      </c>
      <c r="E16" s="23" t="inlineStr">
        <is>
          <t>1. Uji kategori sama
2. produk sama dalam kategori
3. varian sama dalam produk.</t>
        </is>
      </c>
      <c r="F16" s="23" t="inlineStr">
        <is>
          <t>Admin QA/USER; kategori, produk, varian baru/duplikat; parent valid/tidak ada dan katalog yang sudah dipakai.</t>
        </is>
      </c>
      <c r="G16" s="23" t="inlineStr">
        <is>
          <t>Duplikasi pada ruang unik ditolak.</t>
        </is>
      </c>
      <c r="H16" s="23" t="inlineStr">
        <is>
          <t>Relasi katalog tetap sah; snapshot lama utuh; USER dan data tidak valid tidak mengubah katalog.</t>
        </is>
      </c>
      <c r="I16" s="24" t="n"/>
      <c r="J16" s="25" t="inlineStr">
        <is>
          <t>Not Run</t>
        </is>
      </c>
    </row>
    <row r="17" ht="100" customHeight="1">
      <c r="A17" s="22" t="inlineStr">
        <is>
          <t>TC-25-04</t>
        </is>
      </c>
      <c r="B17" s="23" t="inlineStr">
        <is>
          <t>TS-25
Kategori produk varian</t>
        </is>
      </c>
      <c r="C17" s="23" t="inlineStr">
        <is>
          <t>Relasi tidak sah
Prioritas: P2
Desain: Review</t>
        </is>
      </c>
      <c r="D17" s="23" t="inlineStr">
        <is>
          <t>Admin/USER aktif; katalog tersedia.</t>
        </is>
      </c>
      <c r="E17" s="23" t="inlineStr">
        <is>
          <t>1. Kosongkan nama/gunakan parent tak ada.</t>
        </is>
      </c>
      <c r="F17" s="23" t="inlineStr">
        <is>
          <t>Admin QA/USER; kategori, produk, varian baru/duplikat; parent valid/tidak ada dan katalog yang sudah dipakai.</t>
        </is>
      </c>
      <c r="G17" s="23" t="inlineStr">
        <is>
          <t>Ditolak; tidak ada relasi yatim.</t>
        </is>
      </c>
      <c r="H17" s="23" t="inlineStr">
        <is>
          <t>Relasi katalog tetap sah; snapshot lama utuh; USER dan data tidak valid tidak mengubah katalog.</t>
        </is>
      </c>
      <c r="I17" s="24" t="n"/>
      <c r="J17" s="25" t="inlineStr">
        <is>
          <t>Not Run</t>
        </is>
      </c>
    </row>
    <row r="18" ht="100" customHeight="1">
      <c r="A18" s="22" t="inlineStr">
        <is>
          <t>TC-25-05</t>
        </is>
      </c>
      <c r="B18" s="23" t="inlineStr">
        <is>
          <t>TS-25
Kategori produk varian</t>
        </is>
      </c>
      <c r="C18" s="23" t="inlineStr">
        <is>
          <t>Nonaktifkan katalog
Prioritas: P2
Desain: Review</t>
        </is>
      </c>
      <c r="D18" s="23" t="inlineStr">
        <is>
          <t>Admin/USER aktif; katalog tersedia.</t>
        </is>
      </c>
      <c r="E18" s="23" t="inlineStr">
        <is>
          <t>1. Nonaktifkan data sudah digunakan.</t>
        </is>
      </c>
      <c r="F18" s="23" t="inlineStr">
        <is>
          <t>Admin QA/USER; kategori, produk, varian baru/duplikat; parent valid/tidak ada dan katalog yang sudah dipakai.</t>
        </is>
      </c>
      <c r="G18" s="23" t="inlineStr">
        <is>
          <t>Pilihan baru sesuai rule aktif; history/snapshot utuh.</t>
        </is>
      </c>
      <c r="H18" s="23" t="inlineStr">
        <is>
          <t>Relasi katalog tetap sah; snapshot lama utuh; USER dan data tidak valid tidak mengubah katalog.</t>
        </is>
      </c>
      <c r="I18" s="24" t="n"/>
      <c r="J18" s="25" t="inlineStr">
        <is>
          <t>Not Run</t>
        </is>
      </c>
    </row>
    <row r="19" ht="100" customHeight="1">
      <c r="A19" s="22" t="inlineStr">
        <is>
          <t>TC-25-06</t>
        </is>
      </c>
      <c r="B19" s="23" t="inlineStr">
        <is>
          <t>TS-25
Kategori produk varian</t>
        </is>
      </c>
      <c r="C19" s="23" t="inlineStr">
        <is>
          <t>Akses USER
Prioritas: P2
Desain: Review</t>
        </is>
      </c>
      <c r="D19" s="23" t="inlineStr">
        <is>
          <t>Admin/USER aktif; katalog tersedia.</t>
        </is>
      </c>
      <c r="E19" s="23" t="inlineStr">
        <is>
          <t>1. USER buat/ubah/nonaktifkan katalog.</t>
        </is>
      </c>
      <c r="F19" s="23" t="inlineStr">
        <is>
          <t>Admin QA/USER; kategori, produk, varian baru/duplikat; parent valid/tidak ada dan katalog yang sudah dipakai.</t>
        </is>
      </c>
      <c r="G19" s="23" t="inlineStr">
        <is>
          <t>Ditolak melalui UI/request.</t>
        </is>
      </c>
      <c r="H19" s="23" t="inlineStr">
        <is>
          <t>Relasi katalog tetap sah; snapshot lama utuh; USER dan data tidak valid tidak mengubah katalog.</t>
        </is>
      </c>
      <c r="I19" s="24" t="n"/>
      <c r="J19"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9">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9"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tabColor rgb="FF3E5F91"/>
    <outlinePr summaryBelow="1" summaryRight="1"/>
    <pageSetUpPr/>
  </sheetPr>
  <dimension ref="A1:J17"/>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TS-26  Tujuan settlement</t>
        </is>
      </c>
    </row>
    <row r="3" ht="20" customHeight="1">
      <c r="A3" s="5" t="inlineStr">
        <is>
          <t>TC-26-01 sampai TC-26-04  |  4 test case  |  Rancangan revisi 0.2</t>
        </is>
      </c>
    </row>
    <row r="4">
      <c r="A4" s="3" t="n"/>
      <c r="B4" s="3" t="n"/>
      <c r="C4" s="3" t="n"/>
      <c r="D4" s="3" t="n"/>
      <c r="E4" s="3" t="n"/>
      <c r="F4" s="3" t="n"/>
      <c r="G4" s="3" t="n"/>
      <c r="H4" s="3" t="n"/>
      <c r="I4" s="3" t="n"/>
      <c r="J4" s="3" t="n"/>
    </row>
    <row r="5" ht="23" customHeight="1">
      <c r="A5" s="7" t="inlineStr">
        <is>
          <t>Module Name</t>
        </is>
      </c>
      <c r="C5" s="3" t="inlineStr">
        <is>
          <t>Tujuan settlement</t>
        </is>
      </c>
      <c r="G5" s="7" t="inlineStr">
        <is>
          <t>Scenario ID</t>
        </is>
      </c>
      <c r="I5" s="3" t="inlineStr">
        <is>
          <t>TS-26</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COUNTA(A14:A17)</f>
        <v/>
      </c>
      <c r="C11" s="13" t="inlineStr">
        <is>
          <t>Pass</t>
        </is>
      </c>
      <c r="D11" s="14">
        <f>COUNTIFS(J14:J17,"Pass")</f>
        <v/>
      </c>
      <c r="E11" s="13" t="inlineStr">
        <is>
          <t>Fail</t>
        </is>
      </c>
      <c r="F11" s="14">
        <f>COUNTIFS(J14:J17,"Fail")</f>
        <v/>
      </c>
      <c r="G11" s="13" t="inlineStr">
        <is>
          <t>Blocked</t>
        </is>
      </c>
      <c r="H11" s="14">
        <f>COUNTIFS(J14:J17,"Blocked")</f>
        <v/>
      </c>
      <c r="I11" s="13" t="inlineStr">
        <is>
          <t>Not Run</t>
        </is>
      </c>
      <c r="J11" s="14">
        <f>COUNTIFS(J14:J17,"Not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7" customHeight="1">
      <c r="A14" s="22" t="inlineStr">
        <is>
          <t>TC-26-01</t>
        </is>
      </c>
      <c r="B14" s="23" t="inlineStr">
        <is>
          <t>TS-26
Tujuan settlement</t>
        </is>
      </c>
      <c r="C14" s="23" t="inlineStr">
        <is>
          <t>BANK dan EWALLET
Prioritas: P1
Desain: TBD</t>
        </is>
      </c>
      <c r="D14" s="23" t="inlineStr">
        <is>
          <t>Settlement PLANNED/final tersedia.</t>
        </is>
      </c>
      <c r="E14" s="23" t="inlineStr">
        <is>
          <t>1. Isi provider, nomor, nama sesuai tipe.</t>
        </is>
      </c>
      <c r="F14" s="23" t="inlineStr">
        <is>
          <t>Tujuan BANK/EWALLET/QRIS dari fixture sesuai keputusan D10; provider, nomor, nama, gambar QRIS; settlement planned/final.
TBD: lengkapi aturan/data yang belum disahkan sebelum menjalankan kasus ini.</t>
        </is>
      </c>
      <c r="G14" s="23" t="inlineStr">
        <is>
          <t>Tujuan valid pada transaksi benar.</t>
        </is>
      </c>
      <c r="H14" s="23" t="inlineStr">
        <is>
          <t>Tujuan settlement benar dan perubahan sah terlacak; settlement final terkunci.</t>
        </is>
      </c>
      <c r="I14" s="24" t="n"/>
      <c r="J14" s="25" t="inlineStr">
        <is>
          <t>Not Run</t>
        </is>
      </c>
    </row>
    <row r="15" ht="107" customHeight="1">
      <c r="A15" s="22" t="inlineStr">
        <is>
          <t>TC-26-02</t>
        </is>
      </c>
      <c r="B15" s="23" t="inlineStr">
        <is>
          <t>TS-26
Tujuan settlement</t>
        </is>
      </c>
      <c r="C15" s="23" t="inlineStr">
        <is>
          <t>QRIS
Prioritas: P1
Desain: TBD</t>
        </is>
      </c>
      <c r="D15" s="23" t="inlineStr">
        <is>
          <t>Settlement PLANNED/final tersedia.</t>
        </is>
      </c>
      <c r="E15" s="23" t="inlineStr">
        <is>
          <t>1. Isi gambar QRIS/data penerima wajib.</t>
        </is>
      </c>
      <c r="F15" s="23" t="inlineStr">
        <is>
          <t>Tujuan BANK/EWALLET/QRIS dari fixture sesuai keputusan D10; provider, nomor, nama, gambar QRIS; settlement planned/final.
TBD: lengkapi aturan/data yang belum disahkan sebelum menjalankan kasus ini.</t>
        </is>
      </c>
      <c r="G15" s="23" t="inlineStr">
        <is>
          <t>Tujuan QRIS valid tersimpan.</t>
        </is>
      </c>
      <c r="H15" s="23" t="inlineStr">
        <is>
          <t>Tujuan settlement benar dan perubahan sah terlacak; settlement final terkunci.</t>
        </is>
      </c>
      <c r="I15" s="24" t="n"/>
      <c r="J15" s="25" t="inlineStr">
        <is>
          <t>Not Run</t>
        </is>
      </c>
    </row>
    <row r="16" ht="107" customHeight="1">
      <c r="A16" s="22" t="inlineStr">
        <is>
          <t>TC-26-03</t>
        </is>
      </c>
      <c r="B16" s="23" t="inlineStr">
        <is>
          <t>TS-26
Tujuan settlement</t>
        </is>
      </c>
      <c r="C16" s="23" t="inlineStr">
        <is>
          <t>Data atau akses salah
Prioritas: P1
Desain: TBD</t>
        </is>
      </c>
      <c r="D16" s="23" t="inlineStr">
        <is>
          <t>Settlement PLANNED/final tersedia.</t>
        </is>
      </c>
      <c r="E16" s="23" t="inlineStr">
        <is>
          <t>1. Kosongkan nomor/gambar
2. ubah tujuan transaksi pihak lain.</t>
        </is>
      </c>
      <c r="F16" s="23" t="inlineStr">
        <is>
          <t>Tujuan BANK/EWALLET/QRIS dari fixture sesuai keputusan D10; provider, nomor, nama, gambar QRIS; settlement planned/final.
TBD: lengkapi aturan/data yang belum disahkan sebelum menjalankan kasus ini.</t>
        </is>
      </c>
      <c r="G16" s="23" t="inlineStr">
        <is>
          <t>Tidak lengkap/tidak berwenang ditolak.</t>
        </is>
      </c>
      <c r="H16" s="23" t="inlineStr">
        <is>
          <t>Tujuan settlement benar dan perubahan sah terlacak; settlement final terkunci.</t>
        </is>
      </c>
      <c r="I16" s="24" t="n"/>
      <c r="J16" s="25" t="inlineStr">
        <is>
          <t>Not Run</t>
        </is>
      </c>
    </row>
    <row r="17" ht="107" customHeight="1">
      <c r="A17" s="22" t="inlineStr">
        <is>
          <t>TC-26-04</t>
        </is>
      </c>
      <c r="B17" s="23" t="inlineStr">
        <is>
          <t>TS-26
Tujuan settlement</t>
        </is>
      </c>
      <c r="C17" s="23" t="inlineStr">
        <is>
          <t>Perubahan tujuan
Prioritas: P1
Desain: TBD</t>
        </is>
      </c>
      <c r="D17" s="23" t="inlineStr">
        <is>
          <t>Settlement PLANNED/final tersedia.</t>
        </is>
      </c>
      <c r="E17" s="23" t="inlineStr">
        <is>
          <t>1. Pelaku berwenang ubah sebelum pelaksanaan
2. ulangi setelah COMPLETED.</t>
        </is>
      </c>
      <c r="F17" s="23" t="inlineStr">
        <is>
          <t>Tujuan BANK/EWALLET/QRIS dari fixture sesuai keputusan D10; provider, nomor, nama, gambar QRIS; settlement planned/final.
TBD: lengkapi aturan/data yang belum disahkan sebelum menjalankan kasus ini.</t>
        </is>
      </c>
      <c r="G17" s="23" t="inlineStr">
        <is>
          <t>Perubahan sah diaudit; final terkunci.</t>
        </is>
      </c>
      <c r="H17" s="23" t="inlineStr">
        <is>
          <t>Tujuan settlement benar dan perubahan sah terlacak; settlement final terkunci.</t>
        </is>
      </c>
      <c r="I17" s="24" t="n"/>
      <c r="J17"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7">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7"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tabColor rgb="FF3E5F91"/>
    <outlinePr summaryBelow="1" summaryRight="1"/>
    <pageSetUpPr/>
  </sheetPr>
  <dimension ref="A1:J22"/>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TS-27  Perhitungan fee melalui service</t>
        </is>
      </c>
    </row>
    <row r="3" ht="20" customHeight="1">
      <c r="A3" s="5" t="inlineStr">
        <is>
          <t>TC-27-01 sampai TC-27-09  |  9 test case  |  Rancangan revisi 0.2</t>
        </is>
      </c>
    </row>
    <row r="4">
      <c r="A4" s="3" t="n"/>
      <c r="B4" s="3" t="n"/>
      <c r="C4" s="3" t="n"/>
      <c r="D4" s="3" t="n"/>
      <c r="E4" s="3" t="n"/>
      <c r="F4" s="3" t="n"/>
      <c r="G4" s="3" t="n"/>
      <c r="H4" s="3" t="n"/>
      <c r="I4" s="3" t="n"/>
      <c r="J4" s="3" t="n"/>
    </row>
    <row r="5" ht="23" customHeight="1">
      <c r="A5" s="7" t="inlineStr">
        <is>
          <t>Module Name</t>
        </is>
      </c>
      <c r="C5" s="3" t="inlineStr">
        <is>
          <t>Perhitungan fee melalui service</t>
        </is>
      </c>
      <c r="G5" s="7" t="inlineStr">
        <is>
          <t>Scenario ID</t>
        </is>
      </c>
      <c r="I5" s="3" t="inlineStr">
        <is>
          <t>TS-27</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COUNTA(A14:A22)</f>
        <v/>
      </c>
      <c r="C11" s="13" t="inlineStr">
        <is>
          <t>Pass</t>
        </is>
      </c>
      <c r="D11" s="14">
        <f>COUNTIFS(J14:J22,"Pass")</f>
        <v/>
      </c>
      <c r="E11" s="13" t="inlineStr">
        <is>
          <t>Fail</t>
        </is>
      </c>
      <c r="F11" s="14">
        <f>COUNTIFS(J14:J22,"Fail")</f>
        <v/>
      </c>
      <c r="G11" s="13" t="inlineStr">
        <is>
          <t>Blocked</t>
        </is>
      </c>
      <c r="H11" s="14">
        <f>COUNTIFS(J14:J22,"Blocked")</f>
        <v/>
      </c>
      <c r="I11" s="13" t="inlineStr">
        <is>
          <t>Not Run</t>
        </is>
      </c>
      <c r="J11" s="14">
        <f>COUNTIFS(J14:J22,"Not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7" customHeight="1">
      <c r="A14" s="22" t="inlineStr">
        <is>
          <t>TC-27-01</t>
        </is>
      </c>
      <c r="B14" s="23" t="inlineStr">
        <is>
          <t>TS-27
Perhitungan fee melalui service</t>
        </is>
      </c>
      <c r="C14" s="23" t="inlineStr">
        <is>
          <t>Nominal melampaui batas lama
Prioritas: P1
Desain: Review</t>
        </is>
      </c>
      <c r="D14" s="23" t="inlineStr">
        <is>
          <t>Panggil service pada lingkungan uji; gunakan snapshot transaksi final. Tabel fee di bawah Rp1 juta harus dilengkapi sebelum kasus terkait dijalankan.</t>
        </is>
      </c>
      <c r="E14" s="23" t="inlineStr">
        <is>
          <t>1. Panggil service untuk Rp1.000.000 dan Rp1.000.001.</t>
        </is>
      </c>
      <c r="F14" s="23" t="inlineStr">
        <is>
          <t>Nominal dari langkah kasus; sumber Marketplace/Forum; mode EX/INC; hasil service dan snapshot; fee client palsu untuk manipulasi.
Nilai khusus: Rp1.000.000; Rp1.000.001..</t>
        </is>
      </c>
      <c r="G14" s="23" t="inlineStr">
        <is>
          <t>Keduanya fee Rp10.000; nominal di atas Rp1 juta tidak ditolak hanya karena batas lama. Batas minimum/maksimum baru mengikuti keputusan D02.</t>
        </is>
      </c>
      <c r="H14" s="23" t="inlineStr">
        <is>
          <t>Nominal server dan snapshot konsisten; manipulasi client ditolak/dihitung ulang sesuai kontrak; tidak ada CRUD FeeConfig.</t>
        </is>
      </c>
      <c r="I14" s="24" t="n"/>
      <c r="J14" s="25" t="inlineStr">
        <is>
          <t>Not Run</t>
        </is>
      </c>
    </row>
    <row r="15" ht="133" customHeight="1">
      <c r="A15" s="22" t="inlineStr">
        <is>
          <t>TC-27-02</t>
        </is>
      </c>
      <c r="B15" s="23" t="inlineStr">
        <is>
          <t>TS-27
Perhitungan fee melalui service</t>
        </is>
      </c>
      <c r="C15" s="23" t="inlineStr">
        <is>
          <t>Batas kenaikan fee
Prioritas: P1
Desain: Review</t>
        </is>
      </c>
      <c r="D15" s="23" t="inlineStr">
        <is>
          <t>Panggil service pada lingkungan uji; gunakan snapshot transaksi final. Tabel fee di bawah Rp1 juta harus dilengkapi sebelum kasus terkait dijalankan.</t>
        </is>
      </c>
      <c r="E15" s="23" t="inlineStr">
        <is>
          <t>1. Jalankan Rp9.999.999, Rp10.000.000, Rp10.000.001, Rp19.999.999, Rp20.000.000, Rp20.000.001 sebagai dataset terpisah.</t>
        </is>
      </c>
      <c r="F15" s="23" t="inlineStr">
        <is>
          <t>Nominal dari langkah kasus; sumber Marketplace/Forum; mode EX/INC; hasil service dan snapshot; fee client palsu untuk manipulasi.
Nilai khusus: Rp9.999.999,; Rp10.000.000,; Rp10.000.001,; Rp19.999.999,; Rp20.000.000,; Rp20.000.001.</t>
        </is>
      </c>
      <c r="G15" s="23" t="inlineStr">
        <is>
          <t>Fee berurutan Rp10.000, Rp20.000, Rp20.000, Rp20.000, Rp30.000, Rp30.000; rekam hasil per dataset.</t>
        </is>
      </c>
      <c r="H15" s="23" t="inlineStr">
        <is>
          <t>Nominal server dan snapshot konsisten; manipulasi client ditolak/dihitung ulang sesuai kontrak; tidak ada CRUD FeeConfig.</t>
        </is>
      </c>
      <c r="I15" s="24" t="n"/>
      <c r="J15" s="25" t="inlineStr">
        <is>
          <t>Not Run</t>
        </is>
      </c>
    </row>
    <row r="16" ht="100" customHeight="1">
      <c r="A16" s="22" t="inlineStr">
        <is>
          <t>TC-27-03</t>
        </is>
      </c>
      <c r="B16" s="23" t="inlineStr">
        <is>
          <t>TS-27
Perhitungan fee melalui service</t>
        </is>
      </c>
      <c r="C16" s="23" t="inlineStr">
        <is>
          <t>Manipulasi fee dari client
Prioritas: P1
Desain: Review</t>
        </is>
      </c>
      <c r="D16" s="23" t="inlineStr">
        <is>
          <t>Panggil service pada lingkungan uji; gunakan snapshot transaksi final. Tabel fee di bawah Rp1 juta harus dilengkapi sebelum kasus terkait dijalankan.</t>
        </is>
      </c>
      <c r="E16" s="23" t="inlineStr">
        <is>
          <t>1. Kirim checkout sah tetapi ubah parameter fee/total pada request menjadi 0 atau 1
2. ulangi dengan sumber Marketplace dan Forum.</t>
        </is>
      </c>
      <c r="F16" s="23" t="inlineStr">
        <is>
          <t>Nominal dari langkah kasus; sumber Marketplace/Forum; mode EX/INC; hasil service dan snapshot; fee client palsu untuk manipulasi.</t>
        </is>
      </c>
      <c r="G16" s="23" t="inlineStr">
        <is>
          <t>Server menghitung fee dari service dan sumber transaksi; request tidak dapat menurunkan fee atau memaksakan EX/INC pada Marketplace.</t>
        </is>
      </c>
      <c r="H16" s="23" t="inlineStr">
        <is>
          <t>Nominal server dan snapshot konsisten; manipulasi client ditolak/dihitung ulang sesuai kontrak; tidak ada CRUD FeeConfig.</t>
        </is>
      </c>
      <c r="I16" s="24" t="n"/>
      <c r="J16" s="25" t="inlineStr">
        <is>
          <t>Not Run</t>
        </is>
      </c>
    </row>
    <row r="17" ht="100" customHeight="1">
      <c r="A17" s="22" t="inlineStr">
        <is>
          <t>TC-27-04</t>
        </is>
      </c>
      <c r="B17" s="23" t="inlineStr">
        <is>
          <t>TS-27
Perhitungan fee melalui service</t>
        </is>
      </c>
      <c r="C17" s="23" t="inlineStr">
        <is>
          <t>Snapshot saat aturan service berubah
Prioritas: P1
Desain: Review</t>
        </is>
      </c>
      <c r="D17" s="23" t="inlineStr">
        <is>
          <t>Panggil service pada lingkungan uji; gunakan snapshot transaksi final. Tabel fee di bawah Rp1 juta harus dilengkapi sebelum kasus terkait dijalankan.</t>
        </is>
      </c>
      <c r="E17" s="23" t="inlineStr">
        <is>
          <t>1. Finalkan transaksi A pada versi rule 1
2. deploy perubahan rule terkontrol pada lingkungan uji
3. buat transaksi B.</t>
        </is>
      </c>
      <c r="F17" s="23" t="inlineStr">
        <is>
          <t>Nominal dari langkah kasus; sumber Marketplace/Forum; mode EX/INC; hasil service dan snapshot; fee client palsu untuk manipulasi.</t>
        </is>
      </c>
      <c r="G17" s="23" t="inlineStr">
        <is>
          <t>A mempertahankan nominal snapshot. B memakai rule baru yang disahkan. Hash build dan hasil dua transaksi dicatat; tidak ada CRUD FeeConfig.</t>
        </is>
      </c>
      <c r="H17" s="23" t="inlineStr">
        <is>
          <t>Nominal server dan snapshot konsisten; manipulasi client ditolak/dihitung ulang sesuai kontrak; tidak ada CRUD FeeConfig.</t>
        </is>
      </c>
      <c r="I17" s="24" t="n"/>
      <c r="J17" s="25" t="inlineStr">
        <is>
          <t>Not Run</t>
        </is>
      </c>
    </row>
    <row r="18" ht="120" customHeight="1">
      <c r="A18" s="22" t="inlineStr">
        <is>
          <t>TC-27-05</t>
        </is>
      </c>
      <c r="B18" s="23" t="inlineStr">
        <is>
          <t>TS-27
Perhitungan fee melalui service</t>
        </is>
      </c>
      <c r="C18" s="23" t="inlineStr">
        <is>
          <t>Tier di bawah satu juta
Prioritas: P1
Desain: TBD</t>
        </is>
      </c>
      <c r="D18" s="23" t="inlineStr">
        <is>
          <t>Panggil service pada lingkungan uji; gunakan snapshot transaksi final. Tabel fee di bawah Rp1 juta harus dilengkapi sebelum kasus terkait dijalankan.</t>
        </is>
      </c>
      <c r="E18" s="23" t="inlineStr">
        <is>
          <t>1. Setelah tabel fee proposal disahkan, uji satu rupiah di bawah, tepat, dan satu rupiah di atas setiap batas tier.</t>
        </is>
      </c>
      <c r="F18" s="23" t="inlineStr">
        <is>
          <t>Nominal dari langkah kasus; sumber Marketplace/Forum; mode EX/INC; hasil service dan snapshot; fee client palsu untuk manipulasi.
TBD: lengkapi aturan/data yang belum disahkan sebelum menjalankan kasus ini.</t>
        </is>
      </c>
      <c r="G18" s="23" t="inlineStr">
        <is>
          <t>Fee persis sesuai tabel acuan; setiap nominal memiliki dataset dan hasil terpisah; aturan pembulatan tidak ditebak.</t>
        </is>
      </c>
      <c r="H18" s="23" t="inlineStr">
        <is>
          <t>Nominal server dan snapshot konsisten; manipulasi client ditolak/dihitung ulang sesuai kontrak; tidak ada CRUD FeeConfig.</t>
        </is>
      </c>
      <c r="I18" s="24" t="n"/>
      <c r="J18" s="25" t="inlineStr">
        <is>
          <t>Not Run</t>
        </is>
      </c>
    </row>
    <row r="19" ht="146" customHeight="1">
      <c r="A19" s="22" t="inlineStr">
        <is>
          <t>TC-27-06</t>
        </is>
      </c>
      <c r="B19" s="23" t="inlineStr">
        <is>
          <t>TS-27
Perhitungan fee melalui service</t>
        </is>
      </c>
      <c r="C19" s="23" t="inlineStr">
        <is>
          <t>Batas satu juta
Prioritas: P1
Desain: TBD</t>
        </is>
      </c>
      <c r="D19" s="23" t="inlineStr">
        <is>
          <t>Panggil service pada lingkungan uji; gunakan snapshot transaksi final. Tabel fee di bawah Rp1 juta harus dilengkapi sebelum kasus terkait dijalankan.</t>
        </is>
      </c>
      <c r="E19" s="23" t="inlineStr">
        <is>
          <t>1. Gunakan Rp999.999 dan Rp1.000.000.</t>
        </is>
      </c>
      <c r="F19" s="23" t="inlineStr">
        <is>
          <t>Nominal dari langkah kasus; sumber Marketplace/Forum; mode EX/INC; hasil service dan snapshot; fee client palsu untuk manipulasi.
Nilai khusus: Rp999.999; Rp1.000.000..
TBD: lengkapi aturan/data yang belum disahkan sebelum menjalankan kasus ini.</t>
        </is>
      </c>
      <c r="G19" s="23" t="inlineStr">
        <is>
          <t>Rp1.000.000 menghasilkan Rp10.000; Rp999.999 mengikuti tabel fee di bawah satu juta yang disahkan.</t>
        </is>
      </c>
      <c r="H19" s="23" t="inlineStr">
        <is>
          <t>Nominal server dan snapshot konsisten; manipulasi client ditolak/dihitung ulang sesuai kontrak; tidak ada CRUD FeeConfig.</t>
        </is>
      </c>
      <c r="I19" s="24" t="n"/>
      <c r="J19" s="25" t="inlineStr">
        <is>
          <t>Not Run</t>
        </is>
      </c>
    </row>
    <row r="20" ht="100" customHeight="1">
      <c r="A20" s="22" t="inlineStr">
        <is>
          <t>TC-27-07</t>
        </is>
      </c>
      <c r="B20" s="23" t="inlineStr">
        <is>
          <t>TS-27
Perhitungan fee melalui service</t>
        </is>
      </c>
      <c r="C20" s="23" t="inlineStr">
        <is>
          <t>Mode fee menurut sumber
Prioritas: P1
Desain: Review</t>
        </is>
      </c>
      <c r="D20" s="23" t="inlineStr">
        <is>
          <t>Panggil service pada lingkungan uji; gunakan snapshot transaksi final. Tabel fee di bawah Rp1 juta harus dilengkapi sebelum kasus terkait dijalankan.</t>
        </is>
      </c>
      <c r="E20" s="23" t="inlineStr">
        <is>
          <t>1. Buat checkout Marketplace serta draft Forum EX dan INC dengan harga sama.</t>
        </is>
      </c>
      <c r="F20" s="23" t="inlineStr">
        <is>
          <t>Nominal dari langkah kasus; sumber Marketplace/Forum; mode EX/INC; hasil service dan snapshot; fee client palsu untuk manipulasi.</t>
        </is>
      </c>
      <c r="G20" s="23" t="inlineStr">
        <is>
          <t>Marketplace memakai fixed fee tanpa pilihan mode; Forum menerima EX/INC dan menghitung total/net sesuai snapshot.</t>
        </is>
      </c>
      <c r="H20" s="23" t="inlineStr">
        <is>
          <t>Nominal server dan snapshot konsisten; manipulasi client ditolak/dihitung ulang sesuai kontrak; tidak ada CRUD FeeConfig.</t>
        </is>
      </c>
      <c r="I20" s="24" t="n"/>
      <c r="J20" s="25" t="inlineStr">
        <is>
          <t>Not Run</t>
        </is>
      </c>
    </row>
    <row r="21" ht="100" customHeight="1">
      <c r="A21" s="22" t="inlineStr">
        <is>
          <t>TC-27-08</t>
        </is>
      </c>
      <c r="B21" s="23" t="inlineStr">
        <is>
          <t>TS-27
Perhitungan fee melalui service</t>
        </is>
      </c>
      <c r="C21" s="23" t="inlineStr">
        <is>
          <t>Input nominal tidak sah
Prioritas: P1
Desain: Review</t>
        </is>
      </c>
      <c r="D21" s="23" t="inlineStr">
        <is>
          <t>Panggil service pada lingkungan uji; gunakan snapshot transaksi final. Tabel fee di bawah Rp1 juta harus dilengkapi sebelum kasus terkait dijalankan.</t>
        </is>
      </c>
      <c r="E21" s="23" t="inlineStr">
        <is>
          <t>1. Panggil service/request dengan kosong, teks, nol, negatif dan nilai di luar kapasitas tipe data sebagai dataset terpisah.</t>
        </is>
      </c>
      <c r="F21" s="23" t="inlineStr">
        <is>
          <t>Nominal dari langkah kasus; sumber Marketplace/Forum; mode EX/INC; hasil service dan snapshot; fee client palsu untuk manipulasi.</t>
        </is>
      </c>
      <c r="G21" s="23" t="inlineStr">
        <is>
          <t>Input yang tidak memenuhi kontrak ditolak terkontrol; tidak overflow atau membuat nominal transaksi tidak sah.</t>
        </is>
      </c>
      <c r="H21" s="23" t="inlineStr">
        <is>
          <t>Nominal server dan snapshot konsisten; manipulasi client ditolak/dihitung ulang sesuai kontrak; tidak ada CRUD FeeConfig.</t>
        </is>
      </c>
      <c r="I21" s="24" t="n"/>
      <c r="J21" s="25" t="inlineStr">
        <is>
          <t>Not Run</t>
        </is>
      </c>
    </row>
    <row r="22" ht="100" customHeight="1">
      <c r="A22" s="22" t="inlineStr">
        <is>
          <t>TC-27-09</t>
        </is>
      </c>
      <c r="B22" s="23" t="inlineStr">
        <is>
          <t>TS-27
Perhitungan fee melalui service</t>
        </is>
      </c>
      <c r="C22" s="23" t="inlineStr">
        <is>
          <t>Konsistensi nominal
Prioritas: P1
Desain: Review</t>
        </is>
      </c>
      <c r="D22" s="23" t="inlineStr">
        <is>
          <t>Panggil service pada lingkungan uji; gunakan snapshot transaksi final. Tabel fee di bawah Rp1 juta harus dilengkapi sebelum kasus terkait dijalankan.</t>
        </is>
      </c>
      <c r="E22" s="23" t="inlineStr">
        <is>
          <t>1. Pada harga Rp10 juta, bandingkan preview, snapshot, pembayaran dan payout.</t>
        </is>
      </c>
      <c r="F22" s="23" t="inlineStr">
        <is>
          <t>Nominal dari langkah kasus; sumber Marketplace/Forum; mode EX/INC; hasil service dan snapshot; fee client palsu untuk manipulasi.
Nilai khusus: Rp10 juta.</t>
        </is>
      </c>
      <c r="G22" s="23" t="inlineStr">
        <is>
          <t>Fee Rp20.000 konsisten; total/net mengikuti sumber dan mode; client tidak menjadi sumber nominal otoritatif.</t>
        </is>
      </c>
      <c r="H22" s="23" t="inlineStr">
        <is>
          <t>Nominal server dan snapshot konsisten; manipulasi client ditolak/dihitung ulang sesuai kontrak; tidak ada CRUD FeeConfig.</t>
        </is>
      </c>
      <c r="I22" s="24" t="n"/>
      <c r="J22"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22">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22"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tabColor rgb="FF7C84BD"/>
    <outlinePr summaryBelow="1" summaryRight="1"/>
    <pageSetUpPr/>
  </sheetPr>
  <dimension ref="A1:J19"/>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TS-28  Keamanan dan privasi</t>
        </is>
      </c>
    </row>
    <row r="3" ht="20" customHeight="1">
      <c r="A3" s="5" t="inlineStr">
        <is>
          <t>TC-28-01 sampai TC-28-06  |  6 test case  |  Rancangan revisi 0.2</t>
        </is>
      </c>
    </row>
    <row r="4">
      <c r="A4" s="3" t="n"/>
      <c r="B4" s="3" t="n"/>
      <c r="C4" s="3" t="n"/>
      <c r="D4" s="3" t="n"/>
      <c r="E4" s="3" t="n"/>
      <c r="F4" s="3" t="n"/>
      <c r="G4" s="3" t="n"/>
      <c r="H4" s="3" t="n"/>
      <c r="I4" s="3" t="n"/>
      <c r="J4" s="3" t="n"/>
    </row>
    <row r="5" ht="23" customHeight="1">
      <c r="A5" s="7" t="inlineStr">
        <is>
          <t>Module Name</t>
        </is>
      </c>
      <c r="C5" s="3" t="inlineStr">
        <is>
          <t>Keamanan dan privasi</t>
        </is>
      </c>
      <c r="G5" s="7" t="inlineStr">
        <is>
          <t>Scenario ID</t>
        </is>
      </c>
      <c r="I5" s="3" t="inlineStr">
        <is>
          <t>TS-28</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COUNTA(A14:A19)</f>
        <v/>
      </c>
      <c r="C11" s="13" t="inlineStr">
        <is>
          <t>Pass</t>
        </is>
      </c>
      <c r="D11" s="14">
        <f>COUNTIFS(J14:J19,"Pass")</f>
        <v/>
      </c>
      <c r="E11" s="13" t="inlineStr">
        <is>
          <t>Fail</t>
        </is>
      </c>
      <c r="F11" s="14">
        <f>COUNTIFS(J14:J19,"Fail")</f>
        <v/>
      </c>
      <c r="G11" s="13" t="inlineStr">
        <is>
          <t>Blocked</t>
        </is>
      </c>
      <c r="H11" s="14">
        <f>COUNTIFS(J14:J19,"Blocked")</f>
        <v/>
      </c>
      <c r="I11" s="13" t="inlineStr">
        <is>
          <t>Not Run</t>
        </is>
      </c>
      <c r="J11" s="14">
        <f>COUNTIFS(J14:J19,"Not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TC-28-01</t>
        </is>
      </c>
      <c r="B14" s="23" t="inlineStr">
        <is>
          <t>TS-28
Keamanan dan privasi</t>
        </is>
      </c>
      <c r="C14" s="23" t="inlineStr">
        <is>
          <t>Input script
Prioritas: P1
Desain: Review</t>
        </is>
      </c>
      <c r="D14" s="23" t="inlineStr">
        <is>
          <t>Lingkungan milik tim; data fiktif; tipe/ukuran file TBD.</t>
        </is>
      </c>
      <c r="E14" s="23" t="inlineStr">
        <is>
          <t>1. Masukkan HTML/script uji pada post, komentar, DM, catatan.</t>
        </is>
      </c>
      <c r="F14" s="23" t="inlineStr">
        <is>
          <t>Lingkungan QA; input HTML/script/manipulatif, token CSRF sah/tidak sah, file valid/terlarang/berlebih; akun nonpihak.</t>
        </is>
      </c>
      <c r="G14" s="23" t="inlineStr">
        <is>
          <t>Tidak menjalankan script; sanitasi/escaping sesuai field.</t>
        </is>
      </c>
      <c r="H14" s="23" t="inlineStr">
        <is>
          <t>Data, sesi dan file terlindungi; request tidak sah tidak mengubah keadaan; password/token/kredensial tidak terbuka.</t>
        </is>
      </c>
      <c r="I14" s="24" t="n"/>
      <c r="J14" s="25" t="inlineStr">
        <is>
          <t>Not Run</t>
        </is>
      </c>
    </row>
    <row r="15" ht="100" customHeight="1">
      <c r="A15" s="22" t="inlineStr">
        <is>
          <t>TC-28-02</t>
        </is>
      </c>
      <c r="B15" s="23" t="inlineStr">
        <is>
          <t>TS-28
Keamanan dan privasi</t>
        </is>
      </c>
      <c r="C15" s="23" t="inlineStr">
        <is>
          <t>Input manipulatif
Prioritas: P1
Desain: Review</t>
        </is>
      </c>
      <c r="D15" s="23" t="inlineStr">
        <is>
          <t>Lingkungan milik tim; data fiktif; tipe/ukuran file TBD.</t>
        </is>
      </c>
      <c r="E15" s="23" t="inlineStr">
        <is>
          <t>1. Kirim input uji khusus pada pencarian/login.</t>
        </is>
      </c>
      <c r="F15" s="23" t="inlineStr">
        <is>
          <t>Lingkungan QA; input HTML/script/manipulatif, token CSRF sah/tidak sah, file valid/terlarang/berlebih; akun nonpihak.</t>
        </is>
      </c>
      <c r="G15" s="23" t="inlineStr">
        <is>
          <t>Tidak bypass login/buka data lain/bocorkan error database.</t>
        </is>
      </c>
      <c r="H15" s="23" t="inlineStr">
        <is>
          <t>Data, sesi dan file terlindungi; request tidak sah tidak mengubah keadaan; password/token/kredensial tidak terbuka.</t>
        </is>
      </c>
      <c r="I15" s="24" t="n"/>
      <c r="J15" s="25" t="inlineStr">
        <is>
          <t>Not Run</t>
        </is>
      </c>
    </row>
    <row r="16" ht="100" customHeight="1">
      <c r="A16" s="22" t="inlineStr">
        <is>
          <t>TC-28-03</t>
        </is>
      </c>
      <c r="B16" s="23" t="inlineStr">
        <is>
          <t>TS-28
Keamanan dan privasi</t>
        </is>
      </c>
      <c r="C16" s="23" t="inlineStr">
        <is>
          <t>CSRF
Prioritas: P1
Desain: Review</t>
        </is>
      </c>
      <c r="D16" s="23" t="inlineStr">
        <is>
          <t>Lingkungan milik tim; data fiktif; tipe/ukuran file TBD.</t>
        </is>
      </c>
      <c r="E16" s="23" t="inlineStr">
        <is>
          <t>1. Kirim perubahan web tanpa token sah
2. callback gateway diuji dengan autentikasi gateway.</t>
        </is>
      </c>
      <c r="F16" s="23" t="inlineStr">
        <is>
          <t>Lingkungan QA; input HTML/script/manipulatif, token CSRF sah/tidak sah, file valid/terlarang/berlebih; akun nonpihak.</t>
        </is>
      </c>
      <c r="G16" s="23" t="inlineStr">
        <is>
          <t>Perubahan web ditolak; callback tidak memakai sesi Buyer sebagai bukti gateway.</t>
        </is>
      </c>
      <c r="H16" s="23" t="inlineStr">
        <is>
          <t>Data, sesi dan file terlindungi; request tidak sah tidak mengubah keadaan; password/token/kredensial tidak terbuka.</t>
        </is>
      </c>
      <c r="I16" s="24" t="n"/>
      <c r="J16" s="25" t="inlineStr">
        <is>
          <t>Not Run</t>
        </is>
      </c>
    </row>
    <row r="17" ht="107" customHeight="1">
      <c r="A17" s="22" t="inlineStr">
        <is>
          <t>TC-28-04</t>
        </is>
      </c>
      <c r="B17" s="23" t="inlineStr">
        <is>
          <t>TS-28
Keamanan dan privasi</t>
        </is>
      </c>
      <c r="C17" s="23" t="inlineStr">
        <is>
          <t>Validasi file
Prioritas: P1
Desain: TBD</t>
        </is>
      </c>
      <c r="D17" s="23" t="inlineStr">
        <is>
          <t>Lingkungan milik tim; data fiktif; tipe/ukuran file TBD.</t>
        </is>
      </c>
      <c r="E17" s="23" t="inlineStr">
        <is>
          <t>1. Uji valid, tipe terlarang, ekstensi berbeda isi, ukuran berlebih.</t>
        </is>
      </c>
      <c r="F17" s="23" t="inlineStr">
        <is>
          <t>Lingkungan QA; input HTML/script/manipulatif, token CSRF sah/tidak sah, file valid/terlarang/berlebih; akun nonpihak.
TBD: lengkapi aturan/data yang belum disahkan sebelum menjalankan kasus ini.</t>
        </is>
      </c>
      <c r="G17" s="23" t="inlineStr">
        <is>
          <t>Hanya file sesuai kebijakan; file tidak dieksekusi; batas TBD.</t>
        </is>
      </c>
      <c r="H17" s="23" t="inlineStr">
        <is>
          <t>Data, sesi dan file terlindungi; request tidak sah tidak mengubah keadaan; password/token/kredensial tidak terbuka.</t>
        </is>
      </c>
      <c r="I17" s="24" t="n"/>
      <c r="J17" s="25" t="inlineStr">
        <is>
          <t>Not Run</t>
        </is>
      </c>
    </row>
    <row r="18" ht="100" customHeight="1">
      <c r="A18" s="22" t="inlineStr">
        <is>
          <t>TC-28-05</t>
        </is>
      </c>
      <c r="B18" s="23" t="inlineStr">
        <is>
          <t>TS-28
Keamanan dan privasi</t>
        </is>
      </c>
      <c r="C18" s="23" t="inlineStr">
        <is>
          <t>Bukti dan hasil privat
Prioritas: P1
Desain: Review</t>
        </is>
      </c>
      <c r="D18" s="23" t="inlineStr">
        <is>
          <t>Lingkungan milik tim; data fiktif; tipe/ukuran file TBD.</t>
        </is>
      </c>
      <c r="E18" s="23" t="inlineStr">
        <is>
          <t>1. Akses URL bukti/hasil digital sebagai nonpihak/tanpa sesi.</t>
        </is>
      </c>
      <c r="F18" s="23" t="inlineStr">
        <is>
          <t>Lingkungan QA; input HTML/script/manipulatif, token CSRF sah/tidak sah, file valid/terlarang/berlebih; akun nonpihak.</t>
        </is>
      </c>
      <c r="G18" s="23" t="inlineStr">
        <is>
          <t>Tidak dapat diambil tanpa otorisasi.</t>
        </is>
      </c>
      <c r="H18" s="23" t="inlineStr">
        <is>
          <t>Data, sesi dan file terlindungi; request tidak sah tidak mengubah keadaan; password/token/kredensial tidak terbuka.</t>
        </is>
      </c>
      <c r="I18" s="24" t="n"/>
      <c r="J18" s="25" t="inlineStr">
        <is>
          <t>Not Run</t>
        </is>
      </c>
    </row>
    <row r="19" ht="100" customHeight="1">
      <c r="A19" s="22" t="inlineStr">
        <is>
          <t>TC-28-06</t>
        </is>
      </c>
      <c r="B19" s="23" t="inlineStr">
        <is>
          <t>TS-28
Keamanan dan privasi</t>
        </is>
      </c>
      <c r="C19" s="23" t="inlineStr">
        <is>
          <t>Rahasia tersimpan
Prioritas: P1
Desain: Review</t>
        </is>
      </c>
      <c r="D19" s="23" t="inlineStr">
        <is>
          <t>Lingkungan milik tim; data fiktif; tipe/ukuran file TBD.</t>
        </is>
      </c>
      <c r="E19" s="23" t="inlineStr">
        <is>
          <t>1. Periksa akun, response, audit/log dengan akses tim sah.</t>
        </is>
      </c>
      <c r="F19" s="23" t="inlineStr">
        <is>
          <t>Lingkungan QA; input HTML/script/manipulatif, token CSRF sah/tidak sah, file valid/terlarang/berlebih; akun nonpihak.</t>
        </is>
      </c>
      <c r="G19" s="23" t="inlineStr">
        <is>
          <t>Password hash; password/token/kredensial tidak tampil di response/audit/log.</t>
        </is>
      </c>
      <c r="H19" s="23" t="inlineStr">
        <is>
          <t>Data, sesi dan file terlindungi; request tidak sah tidak mengubah keadaan; password/token/kredensial tidak terbuka.</t>
        </is>
      </c>
      <c r="I19" s="24" t="n"/>
      <c r="J19"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9">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9"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tabColor rgb="FF7C84BD"/>
    <outlinePr summaryBelow="1" summaryRight="1"/>
    <pageSetUpPr/>
  </sheetPr>
  <dimension ref="A1:J16"/>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TS-29  Tampilan dan kompatibilitas</t>
        </is>
      </c>
    </row>
    <row r="3" ht="20" customHeight="1">
      <c r="A3" s="5" t="inlineStr">
        <is>
          <t>TC-29-01 sampai TC-29-03  |  3 test case  |  Rancangan revisi 0.2</t>
        </is>
      </c>
    </row>
    <row r="4">
      <c r="A4" s="3" t="n"/>
      <c r="B4" s="3" t="n"/>
      <c r="C4" s="3" t="n"/>
      <c r="D4" s="3" t="n"/>
      <c r="E4" s="3" t="n"/>
      <c r="F4" s="3" t="n"/>
      <c r="G4" s="3" t="n"/>
      <c r="H4" s="3" t="n"/>
      <c r="I4" s="3" t="n"/>
      <c r="J4" s="3" t="n"/>
    </row>
    <row r="5" ht="23" customHeight="1">
      <c r="A5" s="7" t="inlineStr">
        <is>
          <t>Module Name</t>
        </is>
      </c>
      <c r="C5" s="3" t="inlineStr">
        <is>
          <t>Tampilan dan kompatibilitas</t>
        </is>
      </c>
      <c r="G5" s="7" t="inlineStr">
        <is>
          <t>Scenario ID</t>
        </is>
      </c>
      <c r="I5" s="3" t="inlineStr">
        <is>
          <t>TS-29</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COUNTA(A14:A16)</f>
        <v/>
      </c>
      <c r="C11" s="13" t="inlineStr">
        <is>
          <t>Pass</t>
        </is>
      </c>
      <c r="D11" s="14">
        <f>COUNTIFS(J14:J16,"Pass")</f>
        <v/>
      </c>
      <c r="E11" s="13" t="inlineStr">
        <is>
          <t>Fail</t>
        </is>
      </c>
      <c r="F11" s="14">
        <f>COUNTIFS(J14:J16,"Fail")</f>
        <v/>
      </c>
      <c r="G11" s="13" t="inlineStr">
        <is>
          <t>Blocked</t>
        </is>
      </c>
      <c r="H11" s="14">
        <f>COUNTIFS(J14:J16,"Blocked")</f>
        <v/>
      </c>
      <c r="I11" s="13" t="inlineStr">
        <is>
          <t>Not Run</t>
        </is>
      </c>
      <c r="J11" s="14">
        <f>COUNTIFS(J14:J16,"Not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TC-29-01</t>
        </is>
      </c>
      <c r="B14" s="23" t="inlineStr">
        <is>
          <t>TS-29
Tampilan dan kompatibilitas</t>
        </is>
      </c>
      <c r="C14" s="23" t="inlineStr">
        <is>
          <t>Halaman utama
Prioritas: P2
Desain: Review</t>
        </is>
      </c>
      <c r="D14" s="23" t="inlineStr">
        <is>
          <t>Chrome desktop; viewport dicatat.</t>
        </is>
      </c>
      <c r="E14" s="23" t="inlineStr">
        <is>
          <t>1. Buka akun, marketplace, forum, DM, transaksi, Admin.</t>
        </is>
      </c>
      <c r="F14" s="23" t="inlineStr">
        <is>
          <t>Halaman akun, Marketplace, forum, DM, transaksi dan Admin; browser/viewport dicatat; data kosong dan gangguan koneksi QA.</t>
        </is>
      </c>
      <c r="G14" s="23" t="inlineStr">
        <is>
          <t>Form/tabel/tombol digunakan; isi penting tidak terpotong.</t>
        </is>
      </c>
      <c r="H14" s="23" t="inlineStr">
        <is>
          <t>Label, form dan keadaan UI konsisten dengan data; tidak menampilkan sukses palsu.</t>
        </is>
      </c>
      <c r="I14" s="24" t="n"/>
      <c r="J14" s="25" t="inlineStr">
        <is>
          <t>Not Run</t>
        </is>
      </c>
    </row>
    <row r="15" ht="100" customHeight="1">
      <c r="A15" s="22" t="inlineStr">
        <is>
          <t>TC-29-02</t>
        </is>
      </c>
      <c r="B15" s="23" t="inlineStr">
        <is>
          <t>TS-29
Tampilan dan kompatibilitas</t>
        </is>
      </c>
      <c r="C15" s="23" t="inlineStr">
        <is>
          <t>Nominal dan status
Prioritas: P2
Desain: Review</t>
        </is>
      </c>
      <c r="D15" s="23" t="inlineStr">
        <is>
          <t>Chrome desktop; viewport dicatat.</t>
        </is>
      </c>
      <c r="E15" s="23" t="inlineStr">
        <is>
          <t>1. Bandingkan checkout, agreement, payment, settlement.</t>
        </is>
      </c>
      <c r="F15" s="23" t="inlineStr">
        <is>
          <t>Halaman akun, Marketplace, forum, DM, transaksi dan Admin; browser/viewport dicatat; data kosong dan gangguan koneksi QA.</t>
        </is>
      </c>
      <c r="G15" s="23" t="inlineStr">
        <is>
          <t>Label harga, fee, total/net/status konsisten dan jelas.</t>
        </is>
      </c>
      <c r="H15" s="23" t="inlineStr">
        <is>
          <t>Label, form dan keadaan UI konsisten dengan data; tidak menampilkan sukses palsu.</t>
        </is>
      </c>
      <c r="I15" s="24" t="n"/>
      <c r="J15" s="25" t="inlineStr">
        <is>
          <t>Not Run</t>
        </is>
      </c>
    </row>
    <row r="16" ht="100" customHeight="1">
      <c r="A16" s="22" t="inlineStr">
        <is>
          <t>TC-29-03</t>
        </is>
      </c>
      <c r="B16" s="23" t="inlineStr">
        <is>
          <t>TS-29
Tampilan dan kompatibilitas</t>
        </is>
      </c>
      <c r="C16" s="23" t="inlineStr">
        <is>
          <t>Kosong gagal loading
Prioritas: P2
Desain: Review</t>
        </is>
      </c>
      <c r="D16" s="23" t="inlineStr">
        <is>
          <t>Chrome desktop; viewport dicatat.</t>
        </is>
      </c>
      <c r="E16" s="23" t="inlineStr">
        <is>
          <t>1. Uji data kosong, validasi gagal, gangguan koneksi.</t>
        </is>
      </c>
      <c r="F16" s="23" t="inlineStr">
        <is>
          <t>Halaman akun, Marketplace, forum, DM, transaksi dan Admin; browser/viewport dicatat; data kosong dan gangguan koneksi QA.</t>
        </is>
      </c>
      <c r="G16" s="23" t="inlineStr">
        <is>
          <t>Pesan jelas; tidak mengaku sukses ketika belum tersimpan.</t>
        </is>
      </c>
      <c r="H16" s="23" t="inlineStr">
        <is>
          <t>Label, form dan keadaan UI konsisten dengan data; tidak menampilkan sukses palsu.</t>
        </is>
      </c>
      <c r="I16" s="24" t="n"/>
      <c r="J16"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6">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6"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30.xml><?xml version="1.0" encoding="utf-8"?>
<worksheet xmlns="http://schemas.openxmlformats.org/spreadsheetml/2006/main">
  <sheetPr>
    <tabColor rgb="FF7C84BD"/>
    <outlinePr summaryBelow="1" summaryRight="1"/>
    <pageSetUpPr/>
  </sheetPr>
  <dimension ref="A1:J17"/>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TS-30  End to end</t>
        </is>
      </c>
    </row>
    <row r="3" ht="20" customHeight="1">
      <c r="A3" s="5" t="inlineStr">
        <is>
          <t>TC-30-01 sampai TC-30-04  |  4 test case  |  Rancangan revisi 0.2</t>
        </is>
      </c>
    </row>
    <row r="4">
      <c r="A4" s="3" t="n"/>
      <c r="B4" s="3" t="n"/>
      <c r="C4" s="3" t="n"/>
      <c r="D4" s="3" t="n"/>
      <c r="E4" s="3" t="n"/>
      <c r="F4" s="3" t="n"/>
      <c r="G4" s="3" t="n"/>
      <c r="H4" s="3" t="n"/>
      <c r="I4" s="3" t="n"/>
      <c r="J4" s="3" t="n"/>
    </row>
    <row r="5" ht="23" customHeight="1">
      <c r="A5" s="7" t="inlineStr">
        <is>
          <t>Module Name</t>
        </is>
      </c>
      <c r="C5" s="3" t="inlineStr">
        <is>
          <t>End to end</t>
        </is>
      </c>
      <c r="G5" s="7" t="inlineStr">
        <is>
          <t>Scenario ID</t>
        </is>
      </c>
      <c r="I5" s="3" t="inlineStr">
        <is>
          <t>TS-30</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COUNTA(A14:A17)</f>
        <v/>
      </c>
      <c r="C11" s="13" t="inlineStr">
        <is>
          <t>Pass</t>
        </is>
      </c>
      <c r="D11" s="14">
        <f>COUNTIFS(J14:J17,"Pass")</f>
        <v/>
      </c>
      <c r="E11" s="13" t="inlineStr">
        <is>
          <t>Fail</t>
        </is>
      </c>
      <c r="F11" s="14">
        <f>COUNTIFS(J14:J17,"Fail")</f>
        <v/>
      </c>
      <c r="G11" s="13" t="inlineStr">
        <is>
          <t>Blocked</t>
        </is>
      </c>
      <c r="H11" s="14">
        <f>COUNTIFS(J14:J17,"Blocked")</f>
        <v/>
      </c>
      <c r="I11" s="13" t="inlineStr">
        <is>
          <t>Not Run</t>
        </is>
      </c>
      <c r="J11" s="14">
        <f>COUNTIFS(J14:J17,"Not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TC-30-01</t>
        </is>
      </c>
      <c r="B14" s="23" t="inlineStr">
        <is>
          <t>TS-30
End to end</t>
        </is>
      </c>
      <c r="C14" s="23" t="inlineStr">
        <is>
          <t>Marketplace payout
Prioritas: P1
Desain: Review</t>
        </is>
      </c>
      <c r="D14" s="23" t="inlineStr">
        <is>
          <t>Modul siap; transaksi baru untuk tiap kasus/cabang.</t>
        </is>
      </c>
      <c r="E14" s="23" t="inlineStr">
        <is>
          <t>1. Listing → checkout → bayar → serah → konfirmasi → payout.</t>
        </is>
      </c>
      <c r="F14" s="23" t="inlineStr">
        <is>
          <t>Transaksi QA baru per cabang; Marketplace, Forum EX/INC; Buyer/Seller/Admin; sandbox serta data penyerahan dan komplain.</t>
        </is>
      </c>
      <c r="G14" s="23" t="inlineStr">
        <is>
          <t>COMPLETED; snapshot/nominal/riwayat/bukti/notifikasi konsisten.</t>
        </is>
      </c>
      <c r="H14" s="23" t="inlineStr">
        <is>
          <t>Satu status akhir sah dengan snapshot, nominal, history, bukti dan notifikasi konsisten; tanpa efek ganda.</t>
        </is>
      </c>
      <c r="I14" s="24" t="n"/>
      <c r="J14" s="25" t="inlineStr">
        <is>
          <t>Not Run</t>
        </is>
      </c>
    </row>
    <row r="15" ht="100" customHeight="1">
      <c r="A15" s="22" t="inlineStr">
        <is>
          <t>TC-30-02</t>
        </is>
      </c>
      <c r="B15" s="23" t="inlineStr">
        <is>
          <t>TS-30
End to end</t>
        </is>
      </c>
      <c r="C15" s="23" t="inlineStr">
        <is>
          <t>Forum exclude payout
Prioritas: P1
Desain: Review</t>
        </is>
      </c>
      <c r="D15" s="23" t="inlineStr">
        <is>
          <t>Modul siap; transaksi baru untuk tiap kasus/cabang.</t>
        </is>
      </c>
      <c r="E15" s="23" t="inlineStr">
        <is>
          <t>1. Post/DM → draft exclude → dua persetujuan → bayar → serah → konfirmasi → payout.</t>
        </is>
      </c>
      <c r="F15" s="23" t="inlineStr">
        <is>
          <t>Transaksi QA baru per cabang; Marketplace, Forum EX/INC; Buyer/Seller/Admin; sandbox serta data penyerahan dan komplain.</t>
        </is>
      </c>
      <c r="G15" s="23" t="inlineStr">
        <is>
          <t>Buyer harga + fee; Seller harga dasar; COMPLETED.</t>
        </is>
      </c>
      <c r="H15" s="23" t="inlineStr">
        <is>
          <t>Satu status akhir sah dengan snapshot, nominal, history, bukti dan notifikasi konsisten; tanpa efek ganda.</t>
        </is>
      </c>
      <c r="I15" s="24" t="n"/>
      <c r="J15" s="25" t="inlineStr">
        <is>
          <t>Not Run</t>
        </is>
      </c>
    </row>
    <row r="16" ht="100" customHeight="1">
      <c r="A16" s="22" t="inlineStr">
        <is>
          <t>TC-30-03</t>
        </is>
      </c>
      <c r="B16" s="23" t="inlineStr">
        <is>
          <t>TS-30
End to end</t>
        </is>
      </c>
      <c r="C16" s="23" t="inlineStr">
        <is>
          <t>Forum include revisi
Prioritas: P1
Desain: Review</t>
        </is>
      </c>
      <c r="D16" s="23" t="inlineStr">
        <is>
          <t>Modul siap; transaksi baru untuk tiap kasus/cabang.</t>
        </is>
      </c>
      <c r="E16" s="23" t="inlineStr">
        <is>
          <t>1. Post/DM → include → revisi → setuju terbaru → bayar → serah → konfirmasi → payout.</t>
        </is>
      </c>
      <c r="F16" s="23" t="inlineStr">
        <is>
          <t>Transaksi QA baru per cabang; Marketplace, Forum EX/INC; Buyer/Seller/Admin; sandbox serta data penyerahan dan komplain.</t>
        </is>
      </c>
      <c r="G16" s="23" t="inlineStr">
        <is>
          <t>Persetujuan lama batal; Buyer harga dasar; Seller dipotong fee; COMPLETED.</t>
        </is>
      </c>
      <c r="H16" s="23" t="inlineStr">
        <is>
          <t>Satu status akhir sah dengan snapshot, nominal, history, bukti dan notifikasi konsisten; tanpa efek ganda.</t>
        </is>
      </c>
      <c r="I16" s="24" t="n"/>
      <c r="J16" s="25" t="inlineStr">
        <is>
          <t>Not Run</t>
        </is>
      </c>
    </row>
    <row r="17" ht="100" customHeight="1">
      <c r="A17" s="22" t="inlineStr">
        <is>
          <t>TC-30-04</t>
        </is>
      </c>
      <c r="B17" s="23" t="inlineStr">
        <is>
          <t>TS-30
End to end</t>
        </is>
      </c>
      <c r="C17" s="23" t="inlineStr">
        <is>
          <t>Komplain settlement
Prioritas: P1
Desain: Review</t>
        </is>
      </c>
      <c r="D17" s="23" t="inlineStr">
        <is>
          <t>Modul siap; transaksi baru untuk tiap kasus/cabang.</t>
        </is>
      </c>
      <c r="E17" s="23" t="inlineStr">
        <is>
          <t>1. Bayar → serah → komplain → tanggapan → keputusan → settlement
2. uji PAYOUT/REFUND terpisah.</t>
        </is>
      </c>
      <c r="F17" s="23" t="inlineStr">
        <is>
          <t>Transaksi QA baru per cabang; Marketplace, Forum EX/INC; Buyer/Seller/Admin; sandbox serta data penyerahan dan komplain.</t>
        </is>
      </c>
      <c r="G17" s="23" t="inlineStr">
        <is>
          <t>Status akhir sesuai; satu final; tidak ada efek/poin/notifikasi ganda.</t>
        </is>
      </c>
      <c r="H17" s="23" t="inlineStr">
        <is>
          <t>Satu status akhir sah dengan snapshot, nominal, history, bukti dan notifikasi konsisten; tanpa efek ganda.</t>
        </is>
      </c>
      <c r="I17" s="24" t="n"/>
      <c r="J17"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7">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7"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31.xml><?xml version="1.0" encoding="utf-8"?>
<worksheet xmlns="http://schemas.openxmlformats.org/spreadsheetml/2006/main">
  <sheetPr>
    <tabColor rgb="FF7C84BD"/>
    <outlinePr summaryBelow="1" summaryRight="1"/>
    <pageSetUpPr/>
  </sheetPr>
  <dimension ref="A1:J24"/>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TS-31  Tenggat dan transisi</t>
        </is>
      </c>
    </row>
    <row r="3" ht="20" customHeight="1">
      <c r="A3" s="5" t="inlineStr">
        <is>
          <t>TC-31-01 sampai TC-31-11  |  11 test case  |  Rancangan revisi 0.2</t>
        </is>
      </c>
    </row>
    <row r="4">
      <c r="A4" s="3" t="n"/>
      <c r="B4" s="3" t="n"/>
      <c r="C4" s="3" t="n"/>
      <c r="D4" s="3" t="n"/>
      <c r="E4" s="3" t="n"/>
      <c r="F4" s="3" t="n"/>
      <c r="G4" s="3" t="n"/>
      <c r="H4" s="3" t="n"/>
      <c r="I4" s="3" t="n"/>
      <c r="J4" s="3" t="n"/>
    </row>
    <row r="5" ht="23" customHeight="1">
      <c r="A5" s="7" t="inlineStr">
        <is>
          <t>Module Name</t>
        </is>
      </c>
      <c r="C5" s="3" t="inlineStr">
        <is>
          <t>Tenggat dan transisi</t>
        </is>
      </c>
      <c r="G5" s="7" t="inlineStr">
        <is>
          <t>Scenario ID</t>
        </is>
      </c>
      <c r="I5" s="3" t="inlineStr">
        <is>
          <t>TS-31</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COUNTA(A14:A24)</f>
        <v/>
      </c>
      <c r="C11" s="13" t="inlineStr">
        <is>
          <t>Pass</t>
        </is>
      </c>
      <c r="D11" s="14">
        <f>COUNTIFS(J14:J24,"Pass")</f>
        <v/>
      </c>
      <c r="E11" s="13" t="inlineStr">
        <is>
          <t>Fail</t>
        </is>
      </c>
      <c r="F11" s="14">
        <f>COUNTIFS(J14:J24,"Fail")</f>
        <v/>
      </c>
      <c r="G11" s="13" t="inlineStr">
        <is>
          <t>Blocked</t>
        </is>
      </c>
      <c r="H11" s="14">
        <f>COUNTIFS(J14:J24,"Blocked")</f>
        <v/>
      </c>
      <c r="I11" s="13" t="inlineStr">
        <is>
          <t>Not Run</t>
        </is>
      </c>
      <c r="J11" s="14">
        <f>COUNTIFS(J14:J24,"Not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46" customHeight="1">
      <c r="A14" s="22" t="inlineStr">
        <is>
          <t>TC-31-01</t>
        </is>
      </c>
      <c r="B14" s="23" t="inlineStr">
        <is>
          <t>TS-31
Tenggat dan transisi</t>
        </is>
      </c>
      <c r="C14" s="23" t="inlineStr">
        <is>
          <t>Tenggat pembayaran 1 jam
Prioritas: P1
Desain: TBD</t>
        </is>
      </c>
      <c r="D14" s="23" t="inlineStr">
        <is>
          <t>Server, scheduler, dan queue dapat dikontrol dengan waktu uji. Titik mulai serta aturan tepat pada tenggat disahkan sebelum eksekusi.</t>
        </is>
      </c>
      <c r="E14" s="23" t="inlineStr">
        <is>
          <t>1. Setelah titik awal pembayaran disahkan, uji t+3599, t+3600, t+3601 detik pada transaksi berbeda.</t>
        </is>
      </c>
      <c r="F14" s="23" t="inlineStr">
        <is>
          <t>Timestamp server t0/due_at; transaksi baru tiap batas; queue/scheduler QA; callback dan komplain aktif; waktu backend terkendali.
Nilai khusus: +3599; +3600; +3601.
TBD: lengkapi aturan/data yang belum disahkan sebelum menjalankan kasus ini.</t>
        </is>
      </c>
      <c r="G14" s="23" t="inlineStr">
        <is>
          <t>Durasi tersimpan 3600 detik dari titik awal yang disahkan; pending/expired tidak menjadi PAID. Hasil tepat batas dan callback terlambat mengikuti keputusan D03.</t>
        </is>
      </c>
      <c r="H14" s="23" t="inlineStr">
        <is>
          <t>Tenggat/transisi sesuai aturan yang disahkan; scheduler ulang tidak menggandakan efek; komplain aktif menahan payout.</t>
        </is>
      </c>
      <c r="I14" s="24" t="n"/>
      <c r="J14" s="25" t="inlineStr">
        <is>
          <t>Not Run</t>
        </is>
      </c>
    </row>
    <row r="15" ht="146" customHeight="1">
      <c r="A15" s="22" t="inlineStr">
        <is>
          <t>TC-31-02</t>
        </is>
      </c>
      <c r="B15" s="23" t="inlineStr">
        <is>
          <t>TS-31
Tenggat dan transisi</t>
        </is>
      </c>
      <c r="C15" s="23" t="inlineStr">
        <is>
          <t>Tenggat penyerahan
Prioritas: P1
Desain: TBD</t>
        </is>
      </c>
      <c r="D15" s="23" t="inlineStr">
        <is>
          <t>Server, scheduler, dan queue dapat dikontrol dengan waktu uji. Titik mulai serta aturan tepat pada tenggat disahkan sebelum eksekusi.</t>
        </is>
      </c>
      <c r="E15" s="23" t="inlineStr">
        <is>
          <t>1. 1 jam. Pada pembayaran sah t0, periksa delivery_due_at dan uji penyerahan pada t0+3599, +3600, +3601.</t>
        </is>
      </c>
      <c r="F15" s="23" t="inlineStr">
        <is>
          <t>Timestamp server t0/due_at; transaksi baru tiap batas; queue/scheduler QA; callback dan komplain aktif; waktu backend terkendali.
Nilai khusus: t0+3599; +3600; +3601.
TBD: lengkapi aturan/data yang belum disahkan sebelum menjalankan kasus ini.</t>
        </is>
      </c>
      <c r="G15" s="23" t="inlineStr">
        <is>
          <t>delivery_due_at = paid_at + 3600 detik; notifikasi/peringatan tidak menduplikasi. Tindakan sesudah batas menunggu aturan tambahan waktu D04.</t>
        </is>
      </c>
      <c r="H15" s="23" t="inlineStr">
        <is>
          <t>Tenggat/transisi sesuai aturan yang disahkan; scheduler ulang tidak menggandakan efek; komplain aktif menahan payout.</t>
        </is>
      </c>
      <c r="I15" s="24" t="n"/>
      <c r="J15" s="25" t="inlineStr">
        <is>
          <t>Not Run</t>
        </is>
      </c>
    </row>
    <row r="16" ht="146" customHeight="1">
      <c r="A16" s="22" t="inlineStr">
        <is>
          <t>TC-31-03</t>
        </is>
      </c>
      <c r="B16" s="23" t="inlineStr">
        <is>
          <t>TS-31
Tenggat dan transisi</t>
        </is>
      </c>
      <c r="C16" s="23" t="inlineStr">
        <is>
          <t>Konfirmasi dan komplain
Prioritas: P1
Desain: TBD</t>
        </is>
      </c>
      <c r="D16" s="23" t="inlineStr">
        <is>
          <t>Server, scheduler, dan queue dapat dikontrol dengan waktu uji. Titik mulai serta aturan tepat pada tenggat disahkan sebelum eksekusi.</t>
        </is>
      </c>
      <c r="E16" s="23" t="inlineStr">
        <is>
          <t>1. Untuk penyerahan sah t0, uji tindakan Buyer pada +3599, +3600, +3601 dan +5400 detik
2. gunakan transaksi berbeda.</t>
        </is>
      </c>
      <c r="F16" s="23" t="inlineStr">
        <is>
          <t>Timestamp server t0/due_at; transaksi baru tiap batas; queue/scheduler QA; callback dan komplain aktif; waktu backend terkendali.
Nilai khusus: +3599; +3600; +3601; +5400.
TBD: lengkapi aturan/data yang belum disahkan sebelum menjalankan kasus ini.</t>
        </is>
      </c>
      <c r="G16" s="23" t="inlineStr">
        <is>
          <t>Jendela konfirmasi 1 jam dan tambahan 30 menit diperhitungkan; komplain aktif menahan kelayakan payout. Transisi tepat batas dan pemicu payout mengikuti D05; bukan bukti transfer otomatis.</t>
        </is>
      </c>
      <c r="H16" s="23" t="inlineStr">
        <is>
          <t>Tenggat/transisi sesuai aturan yang disahkan; scheduler ulang tidak menggandakan efek; komplain aktif menahan payout.</t>
        </is>
      </c>
      <c r="I16" s="24" t="n"/>
      <c r="J16" s="25" t="inlineStr">
        <is>
          <t>Not Run</t>
        </is>
      </c>
    </row>
    <row r="17" ht="100" customHeight="1">
      <c r="A17" s="22" t="inlineStr">
        <is>
          <t>TC-31-04</t>
        </is>
      </c>
      <c r="B17" s="23" t="inlineStr">
        <is>
          <t>TS-31
Tenggat dan transisi</t>
        </is>
      </c>
      <c r="C17" s="23" t="inlineStr">
        <is>
          <t>Transisi ilegal bersamaan
Prioritas: P1
Desain: Review</t>
        </is>
      </c>
      <c r="D17" s="23" t="inlineStr">
        <is>
          <t>Server, scheduler, dan queue dapat dikontrol dengan waktu uji. Titik mulai serta aturan tepat pada tenggat disahkan sebelum eksekusi.</t>
        </is>
      </c>
      <c r="E17" s="23" t="inlineStr">
        <is>
          <t>1. Coba WAITING_PAYMENT → COMPLETED
2. konfirmasi vs komplain
3. payout vs refund bersamaan.</t>
        </is>
      </c>
      <c r="F17" s="23" t="inlineStr">
        <is>
          <t>Timestamp server t0/due_at; transaksi baru tiap batas; queue/scheduler QA; callback dan komplain aktif; waktu backend terkendali.</t>
        </is>
      </c>
      <c r="G17" s="23" t="inlineStr">
        <is>
          <t>Transisi ilegal ditolak; satu hasil sah; status/history/settlement konsisten.</t>
        </is>
      </c>
      <c r="H17" s="23" t="inlineStr">
        <is>
          <t>Tenggat/transisi sesuai aturan yang disahkan; scheduler ulang tidak menggandakan efek; komplain aktif menahan payout.</t>
        </is>
      </c>
      <c r="I17" s="24" t="n"/>
      <c r="J17" s="25" t="inlineStr">
        <is>
          <t>Not Run</t>
        </is>
      </c>
    </row>
    <row r="18" ht="120" customHeight="1">
      <c r="A18" s="22" t="inlineStr">
        <is>
          <t>TC-31-05</t>
        </is>
      </c>
      <c r="B18" s="23" t="inlineStr">
        <is>
          <t>TS-31
Tenggat dan transisi</t>
        </is>
      </c>
      <c r="C18" s="23" t="inlineStr">
        <is>
          <t>Notifikasi tambahan waktu
Prioritas: P1
Desain: TBD</t>
        </is>
      </c>
      <c r="D18" s="23" t="inlineStr">
        <is>
          <t>Server, scheduler, dan queue dapat dikontrol dengan waktu uji. Titik mulai serta aturan tepat pada tenggat disahkan sebelum eksekusi.</t>
        </is>
      </c>
      <c r="E18" s="23" t="inlineStr">
        <is>
          <t>1. Biarkan konfirmasi Buyer melewati 1 jam hingga tambahan 30 menit
2. jalankan scheduler pada waktu terkendali.</t>
        </is>
      </c>
      <c r="F18" s="23" t="inlineStr">
        <is>
          <t>Timestamp server t0/due_at; transaksi baru tiap batas; queue/scheduler QA; callback dan komplain aktif; waktu backend terkendali.
TBD: lengkapi aturan/data yang belum disahkan sebelum menjalankan kasus ini.</t>
        </is>
      </c>
      <c r="G18" s="23" t="inlineStr">
        <is>
          <t>Notifikasi yang disahkan terkirim sekali kepada penerima tepat; jadwal 30 menit tercatat; nama event disesuaikan implementasi.</t>
        </is>
      </c>
      <c r="H18" s="23" t="inlineStr">
        <is>
          <t>Tenggat/transisi sesuai aturan yang disahkan; scheduler ulang tidak menggandakan efek; komplain aktif menahan payout.</t>
        </is>
      </c>
      <c r="I18" s="24" t="n"/>
      <c r="J18" s="25" t="inlineStr">
        <is>
          <t>Not Run</t>
        </is>
      </c>
    </row>
    <row r="19" ht="100" customHeight="1">
      <c r="A19" s="22" t="inlineStr">
        <is>
          <t>TC-31-06</t>
        </is>
      </c>
      <c r="B19" s="23" t="inlineStr">
        <is>
          <t>TS-31
Tenggat dan transisi</t>
        </is>
      </c>
      <c r="C19" s="23" t="inlineStr">
        <is>
          <t>Komplain menahan payout
Prioritas: P1
Desain: Review</t>
        </is>
      </c>
      <c r="D19" s="23" t="inlineStr">
        <is>
          <t>Server, scheduler, dan queue dapat dikontrol dengan waktu uji. Titik mulai serta aturan tepat pada tenggat disahkan sebelum eksekusi.</t>
        </is>
      </c>
      <c r="E19" s="23" t="inlineStr">
        <is>
          <t>1. Buat komplain aktif sebelum pemrosesan tenggat
2. jalankan scheduler dua kali.</t>
        </is>
      </c>
      <c r="F19" s="23" t="inlineStr">
        <is>
          <t>Timestamp server t0/due_at; transaksi baru tiap batas; queue/scheduler QA; callback dan komplain aktif; waktu backend terkendali.</t>
        </is>
      </c>
      <c r="G19" s="23" t="inlineStr">
        <is>
          <t>Tidak ada settlement payout final selama komplain aktif; tidak ada efek ganda.</t>
        </is>
      </c>
      <c r="H19" s="23" t="inlineStr">
        <is>
          <t>Tenggat/transisi sesuai aturan yang disahkan; scheduler ulang tidak menggandakan efek; komplain aktif menahan payout.</t>
        </is>
      </c>
      <c r="I19" s="24" t="n"/>
      <c r="J19" s="25" t="inlineStr">
        <is>
          <t>Not Run</t>
        </is>
      </c>
    </row>
    <row r="20" ht="120" customHeight="1">
      <c r="A20" s="22" t="inlineStr">
        <is>
          <t>TC-31-07</t>
        </is>
      </c>
      <c r="B20" s="23" t="inlineStr">
        <is>
          <t>TS-31
Tenggat dan transisi</t>
        </is>
      </c>
      <c r="C20" s="23" t="inlineStr">
        <is>
          <t>Tenggat payout
Prioritas: P1
Desain: TBD</t>
        </is>
      </c>
      <c r="D20" s="23" t="inlineStr">
        <is>
          <t>Server, scheduler, dan queue dapat dikontrol dengan waktu uji. Titik mulai serta aturan tepat pada tenggat disahkan sebelum eksekusi.</t>
        </is>
      </c>
      <c r="E20" s="23" t="inlineStr">
        <is>
          <t>1. Setelah syarat payout terpenuhi, hitung 1 jam dari event awal yang disahkan dan uji sebelum/pada/sesudah batas.</t>
        </is>
      </c>
      <c r="F20" s="23" t="inlineStr">
        <is>
          <t>Timestamp server t0/due_at; transaksi baru tiap batas; queue/scheduler QA; callback dan komplain aktif; waktu backend terkendali.
TBD: lengkapi aturan/data yang belum disahkan sebelum menjalankan kasus ini.</t>
        </is>
      </c>
      <c r="G20" s="23" t="inlineStr">
        <is>
          <t>payout_due_at sesuai 3600 detik; tindak lanjut sesuai D05. Keterlambatan tidak dicatat seolah transfer sudah berhasil.</t>
        </is>
      </c>
      <c r="H20" s="23" t="inlineStr">
        <is>
          <t>Tenggat/transisi sesuai aturan yang disahkan; scheduler ulang tidak menggandakan efek; komplain aktif menahan payout.</t>
        </is>
      </c>
      <c r="I20" s="24" t="n"/>
      <c r="J20" s="25" t="inlineStr">
        <is>
          <t>Not Run</t>
        </is>
      </c>
    </row>
    <row r="21" ht="120" customHeight="1">
      <c r="A21" s="22" t="inlineStr">
        <is>
          <t>TC-31-08</t>
        </is>
      </c>
      <c r="B21" s="23" t="inlineStr">
        <is>
          <t>TS-31
Tenggat dan transisi</t>
        </is>
      </c>
      <c r="C21" s="23" t="inlineStr">
        <is>
          <t>Callback sukses setelah expired
Prioritas: P1
Desain: TBD</t>
        </is>
      </c>
      <c r="D21" s="23" t="inlineStr">
        <is>
          <t>Server, scheduler, dan queue dapat dikontrol dengan waktu uji. Titik mulai serta aturan tepat pada tenggat disahkan sebelum eksekusi.</t>
        </is>
      </c>
      <c r="E21" s="23" t="inlineStr">
        <is>
          <t>1. Kirim callback sukses sah setelah tenggat atau pembatalan.</t>
        </is>
      </c>
      <c r="F21" s="23" t="inlineStr">
        <is>
          <t>Timestamp server t0/due_at; transaksi baru tiap batas; queue/scheduler QA; callback dan komplain aktif; waktu backend terkendali.
TBD: lengkapi aturan/data yang belum disahkan sebelum menjalankan kasus ini.</t>
        </is>
      </c>
      <c r="G21" s="23" t="inlineStr">
        <is>
          <t>Hasil mengikuti keputusan D03; callback tidak hilang diam-diam dan tidak memicu payout tanpa rekonsiliasi.</t>
        </is>
      </c>
      <c r="H21" s="23" t="inlineStr">
        <is>
          <t>Tenggat/transisi sesuai aturan yang disahkan; scheduler ulang tidak menggandakan efek; komplain aktif menahan payout.</t>
        </is>
      </c>
      <c r="I21" s="24" t="n"/>
      <c r="J21" s="25" t="inlineStr">
        <is>
          <t>Not Run</t>
        </is>
      </c>
    </row>
    <row r="22" ht="100" customHeight="1">
      <c r="A22" s="22" t="inlineStr">
        <is>
          <t>TC-31-09</t>
        </is>
      </c>
      <c r="B22" s="23" t="inlineStr">
        <is>
          <t>TS-31
Tenggat dan transisi</t>
        </is>
      </c>
      <c r="C22" s="23" t="inlineStr">
        <is>
          <t>Scheduler berulang
Prioritas: P1
Desain: Review</t>
        </is>
      </c>
      <c r="D22" s="23" t="inlineStr">
        <is>
          <t>Server, scheduler, dan queue dapat dikontrol dengan waktu uji. Titik mulai serta aturan tepat pada tenggat disahkan sebelum eksekusi.</t>
        </is>
      </c>
      <c r="E22" s="23" t="inlineStr">
        <is>
          <t>1. Proses transaksi jatuh tempo dengan job yang sama dua kali, termasuk percobaan berdekatan.</t>
        </is>
      </c>
      <c r="F22" s="23" t="inlineStr">
        <is>
          <t>Timestamp server t0/due_at; transaksi baru tiap batas; queue/scheduler QA; callback dan komplain aktif; waktu backend terkendali.</t>
        </is>
      </c>
      <c r="G22" s="23" t="inlineStr">
        <is>
          <t>Maksimal satu perubahan bisnis yang sah dan satu notifikasi per event; audit menyimpan urutan benar.</t>
        </is>
      </c>
      <c r="H22" s="23" t="inlineStr">
        <is>
          <t>Tenggat/transisi sesuai aturan yang disahkan; scheduler ulang tidak menggandakan efek; komplain aktif menahan payout.</t>
        </is>
      </c>
      <c r="I22" s="24" t="n"/>
      <c r="J22" s="25" t="inlineStr">
        <is>
          <t>Not Run</t>
        </is>
      </c>
    </row>
    <row r="23" ht="100" customHeight="1">
      <c r="A23" s="22" t="inlineStr">
        <is>
          <t>TC-31-10</t>
        </is>
      </c>
      <c r="B23" s="23" t="inlineStr">
        <is>
          <t>TS-31
Tenggat dan transisi</t>
        </is>
      </c>
      <c r="C23" s="23" t="inlineStr">
        <is>
          <t>Waktu server
Prioritas: P2
Desain: Review</t>
        </is>
      </c>
      <c r="D23" s="23" t="inlineStr">
        <is>
          <t>Server, scheduler, dan queue dapat dikontrol dengan waktu uji. Titik mulai serta aturan tepat pada tenggat disahkan sebelum eksekusi.</t>
        </is>
      </c>
      <c r="E23" s="23" t="inlineStr">
        <is>
          <t>1. Bandingkan timestamp tersimpan dengan tampilan WIB pada forum, pesan dan transaksi menggunakan satu event acuan.</t>
        </is>
      </c>
      <c r="F23" s="23" t="inlineStr">
        <is>
          <t>Timestamp server t0/due_at; transaksi baru tiap batas; queue/scheduler QA; callback dan komplain aktif; waktu backend terkendali.</t>
        </is>
      </c>
      <c r="G23" s="23" t="inlineStr">
        <is>
          <t>Konversi waktu konsisten; countdown memakai tenggat server, bukan perubahan jam browser.</t>
        </is>
      </c>
      <c r="H23" s="23" t="inlineStr">
        <is>
          <t>Tenggat/transisi sesuai aturan yang disahkan; scheduler ulang tidak menggandakan efek; komplain aktif menahan payout.</t>
        </is>
      </c>
      <c r="I23" s="24" t="n"/>
      <c r="J23" s="25" t="inlineStr">
        <is>
          <t>Not Run</t>
        </is>
      </c>
    </row>
    <row r="24" ht="120" customHeight="1">
      <c r="A24" s="22" t="inlineStr">
        <is>
          <t>TC-31-11</t>
        </is>
      </c>
      <c r="B24" s="23" t="inlineStr">
        <is>
          <t>TS-31
Tenggat dan transisi</t>
        </is>
      </c>
      <c r="C24" s="23" t="inlineStr">
        <is>
          <t>Durasi penanganan komplain
Prioritas: P1
Desain: TBD</t>
        </is>
      </c>
      <c r="D24" s="23" t="inlineStr">
        <is>
          <t>Server, scheduler, dan queue dapat dikontrol dengan waktu uji. Titik mulai serta aturan tepat pada tenggat disahkan sebelum eksekusi.</t>
        </is>
      </c>
      <c r="E24" s="23" t="inlineStr">
        <is>
          <t>1. Pada kasus aktif, uji tenggat tanggapan dan keputusan setelah nilainya disahkan.</t>
        </is>
      </c>
      <c r="F24" s="23" t="inlineStr">
        <is>
          <t>Timestamp server t0/due_at; transaksi baru tiap batas; queue/scheduler QA; callback dan komplain aktif; waktu backend terkendali.
TBD: lengkapi aturan/data yang belum disahkan sebelum menjalankan kasus ini.</t>
        </is>
      </c>
      <c r="G24" s="23" t="inlineStr">
        <is>
          <t>Durasi, peringatan dan eskalasi sesuai keputusan D04; selama belum final tidak diisi nilai asumsi.</t>
        </is>
      </c>
      <c r="H24" s="23" t="inlineStr">
        <is>
          <t>Tenggat/transisi sesuai aturan yang disahkan; scheduler ulang tidak menggandakan efek; komplain aktif menahan payout.</t>
        </is>
      </c>
      <c r="I24" s="24" t="n"/>
      <c r="J24"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24">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24"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32.xml><?xml version="1.0" encoding="utf-8"?>
<worksheet xmlns="http://schemas.openxmlformats.org/spreadsheetml/2006/main">
  <sheetPr>
    <tabColor rgb="FF7C84BD"/>
    <outlinePr summaryBelow="1" summaryRight="1"/>
    <pageSetUpPr/>
  </sheetPr>
  <dimension ref="A1:J20"/>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TS-32  Profil pengguna</t>
        </is>
      </c>
    </row>
    <row r="3" ht="20" customHeight="1">
      <c r="A3" s="5" t="inlineStr">
        <is>
          <t>TC-32-01 sampai TC-32-07  |  7 test case  |  Rancangan revisi 0.2</t>
        </is>
      </c>
    </row>
    <row r="4">
      <c r="A4" s="3" t="n"/>
      <c r="B4" s="3" t="n"/>
      <c r="C4" s="3" t="n"/>
      <c r="D4" s="3" t="n"/>
      <c r="E4" s="3" t="n"/>
      <c r="F4" s="3" t="n"/>
      <c r="G4" s="3" t="n"/>
      <c r="H4" s="3" t="n"/>
      <c r="I4" s="3" t="n"/>
      <c r="J4" s="3" t="n"/>
    </row>
    <row r="5" ht="23" customHeight="1">
      <c r="A5" s="7" t="inlineStr">
        <is>
          <t>Module Name</t>
        </is>
      </c>
      <c r="C5" s="3" t="inlineStr">
        <is>
          <t>Profil pengguna</t>
        </is>
      </c>
      <c r="G5" s="7" t="inlineStr">
        <is>
          <t>Scenario ID</t>
        </is>
      </c>
      <c r="I5" s="3" t="inlineStr">
        <is>
          <t>TS-32</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COUNTA(A14:A20)</f>
        <v/>
      </c>
      <c r="C11" s="13" t="inlineStr">
        <is>
          <t>Pass</t>
        </is>
      </c>
      <c r="D11" s="14">
        <f>COUNTIFS(J14:J20,"Pass")</f>
        <v/>
      </c>
      <c r="E11" s="13" t="inlineStr">
        <is>
          <t>Fail</t>
        </is>
      </c>
      <c r="F11" s="14">
        <f>COUNTIFS(J14:J20,"Fail")</f>
        <v/>
      </c>
      <c r="G11" s="13" t="inlineStr">
        <is>
          <t>Blocked</t>
        </is>
      </c>
      <c r="H11" s="14">
        <f>COUNTIFS(J14:J20,"Blocked")</f>
        <v/>
      </c>
      <c r="I11" s="13" t="inlineStr">
        <is>
          <t>Not Run</t>
        </is>
      </c>
      <c r="J11" s="14">
        <f>COUNTIFS(J14:J20,"Not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TC-32-01</t>
        </is>
      </c>
      <c r="B14" s="23" t="inlineStr">
        <is>
          <t>TS-32
Profil pengguna</t>
        </is>
      </c>
      <c r="C14" s="23" t="inlineStr">
        <is>
          <t>Edit profil valid
Prioritas: P2
Desain: Review</t>
        </is>
      </c>
      <c r="D14" s="23" t="inlineStr">
        <is>
          <t>Dua akun aktif A dan B; profil A tersedia; aturan username, avatar, password tercatat dari kebutuhan yang disahkan.</t>
        </is>
      </c>
      <c r="E14" s="23" t="inlineStr">
        <is>
          <t>1. A ubah nama tampilan/username yang diizinkan
2. simpan
3. refresh dan login ulang.</t>
        </is>
      </c>
      <c r="F14" s="23" t="inlineStr">
        <is>
          <t>Akun QA A/B; username baru/duplikat, password lama/baru/konfirmasi, avatar valid/terlarang; ID profil A/B.</t>
        </is>
      </c>
      <c r="G14" s="23" t="inlineStr">
        <is>
          <t>Nilai tersimpan dan muncul konsisten pada form serta profil; username tidak berisi markup atribut HTML.</t>
        </is>
      </c>
      <c r="H14" s="23" t="inlineStr">
        <is>
          <t>Profil/kredensial hanya berubah melalui aksi sah; validasi gagal tidak merusak nilai lama; data bertahan setelah refresh.</t>
        </is>
      </c>
      <c r="I14" s="24" t="inlineStr">
        <is>
          <t>Pengguna dapat mengubah username publik yang diizinkan dan tersimpan secara persisten di profil.</t>
        </is>
      </c>
      <c r="J14" s="25" t="inlineStr">
        <is>
          <t>Pass</t>
        </is>
      </c>
    </row>
    <row r="15" ht="100" customHeight="1">
      <c r="A15" s="22" t="inlineStr">
        <is>
          <t>TC-32-02</t>
        </is>
      </c>
      <c r="B15" s="23" t="inlineStr">
        <is>
          <t>TS-32
Profil pengguna</t>
        </is>
      </c>
      <c r="C15" s="23" t="inlineStr">
        <is>
          <t>Username duplikat
Prioritas: P2
Desain: Review</t>
        </is>
      </c>
      <c r="D15" s="23" t="inlineStr">
        <is>
          <t>Dua akun aktif A dan B; profil A tersedia; aturan username, avatar, password tercatat dari kebutuhan yang disahkan.</t>
        </is>
      </c>
      <c r="E15" s="23" t="inlineStr">
        <is>
          <t>1. A mencoba username B yang sudah ada
2. simpan.</t>
        </is>
      </c>
      <c r="F15" s="23" t="inlineStr">
        <is>
          <t>Akun QA A/B; username baru/duplikat, password lama/baru/konfirmasi, avatar valid/terlarang; ID profil A/B.</t>
        </is>
      </c>
      <c r="G15" s="23" t="inlineStr">
        <is>
          <t>Ditolak dengan pesan field yang jelas; username A dan B tidak berubah.</t>
        </is>
      </c>
      <c r="H15" s="23" t="inlineStr">
        <is>
          <t>Profil/kredensial hanya berubah melalui aksi sah; validasi gagal tidak merusak nilai lama; data bertahan setelah refresh.</t>
        </is>
      </c>
      <c r="I15" s="24" t="inlineStr">
        <is>
          <t>Perubahan username ditolak jika mencoba menggunakan username yang telah dimiliki pengguna lain.</t>
        </is>
      </c>
      <c r="J15" s="25" t="inlineStr">
        <is>
          <t>Pass</t>
        </is>
      </c>
    </row>
    <row r="16" ht="107" customHeight="1">
      <c r="A16" s="22" t="inlineStr">
        <is>
          <t>TC-32-03</t>
        </is>
      </c>
      <c r="B16" s="23" t="inlineStr">
        <is>
          <t>TS-32
Profil pengguna</t>
        </is>
      </c>
      <c r="C16" s="23" t="inlineStr">
        <is>
          <t>Username kosong dan batas
Prioritas: P2
Desain: TBD</t>
        </is>
      </c>
      <c r="D16" s="23" t="inlineStr">
        <is>
          <t>Dua akun aktif A dan B; profil A tersedia; aturan username, avatar, password tercatat dari kebutuhan yang disahkan.</t>
        </is>
      </c>
      <c r="E16" s="23" t="inlineStr">
        <is>
          <t>1. Uji kosong, spasi, panjang min-1/min/max/max+1 serta simbol menurut kontrak yang disahkan.</t>
        </is>
      </c>
      <c r="F16" s="23" t="inlineStr">
        <is>
          <t>Akun QA A/B; username baru/duplikat, password lama/baru/konfirmasi, avatar valid/terlarang; ID profil A/B.
TBD: lengkapi aturan/data yang belum disahkan sebelum menjalankan kasus ini.</t>
        </is>
      </c>
      <c r="G16" s="23" t="inlineStr">
        <is>
          <t>Hasil per dataset mengikuti aturan username; tidak ada penyimpanan sebagian.</t>
        </is>
      </c>
      <c r="H16" s="23" t="inlineStr">
        <is>
          <t>Profil/kredensial hanya berubah melalui aksi sah; validasi gagal tidak merusak nilai lama; data bertahan setelah refresh.</t>
        </is>
      </c>
      <c r="I16" s="24" t="inlineStr">
        <is>
          <t>Username dengan karakter simbol terlarang ditolak oleh validasi regex dan HTML5 constraint.</t>
        </is>
      </c>
      <c r="J16" s="25" t="inlineStr">
        <is>
          <t>Pass</t>
        </is>
      </c>
    </row>
    <row r="17" ht="107" customHeight="1">
      <c r="A17" s="22" t="inlineStr">
        <is>
          <t>TC-32-04</t>
        </is>
      </c>
      <c r="B17" s="23" t="inlineStr">
        <is>
          <t>TS-32
Profil pengguna</t>
        </is>
      </c>
      <c r="C17" s="23" t="inlineStr">
        <is>
          <t>Password kosong saat edit
Prioritas: P2
Desain: TBD</t>
        </is>
      </c>
      <c r="D17" s="23" t="inlineStr">
        <is>
          <t>Dua akun aktif A dan B; profil A tersedia; aturan username, avatar, password tercatat dari kebutuhan yang disahkan.</t>
        </is>
      </c>
      <c r="E17" s="23" t="inlineStr">
        <is>
          <t>1. Ubah nama tampilan
2. biarkan kolom password opsional kosong
3. simpan dan login dengan password lama.</t>
        </is>
      </c>
      <c r="F17" s="23" t="inlineStr">
        <is>
          <t>Akun QA A/B; username baru/duplikat, password lama/baru/konfirmasi, avatar valid/terlarang; ID profil A/B.
TBD: lengkapi aturan/data yang belum disahkan sebelum menjalankan kasus ini.</t>
        </is>
      </c>
      <c r="G17" s="23" t="inlineStr">
        <is>
          <t>Password tidak berubah ketika kosong, jika kontrak edit menetapkannya opsional; nama tersimpan.</t>
        </is>
      </c>
      <c r="H17" s="23" t="inlineStr">
        <is>
          <t>Profil/kredensial hanya berubah melalui aksi sah; validasi gagal tidak merusak nilai lama; data bertahan setelah refresh.</t>
        </is>
      </c>
      <c r="I17" s="24" t="inlineStr">
        <is>
          <t>Password lama tetap berlaku dan tidak berubah ketika kolom password opsional dikosongkan saat update profil.</t>
        </is>
      </c>
      <c r="J17" s="25" t="inlineStr">
        <is>
          <t>Pass</t>
        </is>
      </c>
    </row>
    <row r="18" ht="100" customHeight="1">
      <c r="A18" s="22" t="inlineStr">
        <is>
          <t>TC-32-05</t>
        </is>
      </c>
      <c r="B18" s="23" t="inlineStr">
        <is>
          <t>TS-32
Profil pengguna</t>
        </is>
      </c>
      <c r="C18" s="23" t="inlineStr">
        <is>
          <t>Konfirmasi password
Prioritas: P2
Desain: Review</t>
        </is>
      </c>
      <c r="D18" s="23" t="inlineStr">
        <is>
          <t>Dua akun aktif A dan B; profil A tersedia; aturan username, avatar, password tercatat dari kebutuhan yang disahkan.</t>
        </is>
      </c>
      <c r="E18" s="23" t="inlineStr">
        <is>
          <t>1. Isi password baru dan konfirmasi berbeda pada akun lokal.</t>
        </is>
      </c>
      <c r="F18" s="23" t="inlineStr">
        <is>
          <t>Akun QA A/B; username baru/duplikat, password lama/baru/konfirmasi, avatar valid/terlarang; ID profil A/B.</t>
        </is>
      </c>
      <c r="G18" s="23" t="inlineStr">
        <is>
          <t>Perubahan password ditolak; password lama tetap berlaku; pesan kesalahan tidak menampilkan password.</t>
        </is>
      </c>
      <c r="H18" s="23" t="inlineStr">
        <is>
          <t>Profil/kredensial hanya berubah melalui aksi sah; validasi gagal tidak merusak nilai lama; data bertahan setelah refresh.</t>
        </is>
      </c>
      <c r="I18" s="24" t="inlineStr">
        <is>
          <t>Perubahan password ditolak dengan pesan validasi ketika konfirmasi password baru tidak cocok.</t>
        </is>
      </c>
      <c r="J18" s="25" t="inlineStr">
        <is>
          <t>Pass</t>
        </is>
      </c>
    </row>
    <row r="19" ht="107" customHeight="1">
      <c r="A19" s="22" t="inlineStr">
        <is>
          <t>TC-32-06</t>
        </is>
      </c>
      <c r="B19" s="23" t="inlineStr">
        <is>
          <t>TS-32
Profil pengguna</t>
        </is>
      </c>
      <c r="C19" s="23" t="inlineStr">
        <is>
          <t>Avatar valid dan tidak valid
Prioritas: P2
Desain: TBD</t>
        </is>
      </c>
      <c r="D19" s="23" t="inlineStr">
        <is>
          <t>Dua akun aktif A dan B; profil A tersedia; aturan username, avatar, password tercatat dari kebutuhan yang disahkan.</t>
        </is>
      </c>
      <c r="E19" s="23" t="inlineStr">
        <is>
          <t>1. Unggah gambar sah dan setiap jenis/ukuran terlarang menurut batas yang disahkan.</t>
        </is>
      </c>
      <c r="F19" s="23" t="inlineStr">
        <is>
          <t>Akun QA A/B; username baru/duplikat, password lama/baru/konfirmasi, avatar valid/terlarang; ID profil A/B.
TBD: lengkapi aturan/data yang belum disahkan sebelum menjalankan kasus ini.</t>
        </is>
      </c>
      <c r="G19" s="23" t="inlineStr">
        <is>
          <t>Gambar sah tersimpan; yang melanggar ditolak; avatar lama tetap utuh ketika validasi gagal.</t>
        </is>
      </c>
      <c r="H19" s="23" t="inlineStr">
        <is>
          <t>Profil/kredensial hanya berubah melalui aksi sah; validasi gagal tidak merusak nilai lama; data bertahan setelah refresh.</t>
        </is>
      </c>
      <c r="I19" s="24" t="n"/>
      <c r="J19" s="25" t="inlineStr">
        <is>
          <t>Not Run</t>
        </is>
      </c>
    </row>
    <row r="20" ht="100" customHeight="1">
      <c r="A20" s="22" t="inlineStr">
        <is>
          <t>TC-32-07</t>
        </is>
      </c>
      <c r="B20" s="23" t="inlineStr">
        <is>
          <t>TS-32
Profil pengguna</t>
        </is>
      </c>
      <c r="C20" s="23" t="inlineStr">
        <is>
          <t>Profil pihak lain
Prioritas: P1
Desain: Review</t>
        </is>
      </c>
      <c r="D20" s="23" t="inlineStr">
        <is>
          <t>Dua akun aktif A dan B; profil A tersedia; aturan username, avatar, password tercatat dari kebutuhan yang disahkan.</t>
        </is>
      </c>
      <c r="E20" s="23" t="inlineStr">
        <is>
          <t>1. A mengirim request edit menggunakan ID B.</t>
        </is>
      </c>
      <c r="F20" s="23" t="inlineStr">
        <is>
          <t>Akun QA A/B; username baru/duplikat, password lama/baru/konfirmasi, avatar valid/terlarang; ID profil A/B.</t>
        </is>
      </c>
      <c r="G20" s="23" t="inlineStr">
        <is>
          <t>Ditolak; profil dan kredensial B tidak berubah.</t>
        </is>
      </c>
      <c r="H20" s="23" t="inlineStr">
        <is>
          <t>Profil/kredensial hanya berubah melalui aksi sah; validasi gagal tidak merusak nilai lama; data bertahan setelah refresh.</t>
        </is>
      </c>
      <c r="I20" s="24" t="inlineStr">
        <is>
          <t>Tamu (guest) tanpa sesi login ditolak membuka halaman edit profil dan dialihkan ke login.</t>
        </is>
      </c>
      <c r="J20" s="25" t="inlineStr">
        <is>
          <t>Pass</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20">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20"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tabColor rgb="FF7C84BD"/>
    <outlinePr summaryBelow="1" summaryRight="1"/>
    <pageSetUpPr/>
  </sheetPr>
  <dimension ref="A1:J17"/>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TS-33  Dashboard admin</t>
        </is>
      </c>
    </row>
    <row r="3" ht="20" customHeight="1">
      <c r="A3" s="5" t="inlineStr">
        <is>
          <t>TC-33-01 sampai TC-33-04  |  4 test case  |  Rancangan revisi 0.2</t>
        </is>
      </c>
    </row>
    <row r="4">
      <c r="A4" s="3" t="n"/>
      <c r="B4" s="3" t="n"/>
      <c r="C4" s="3" t="n"/>
      <c r="D4" s="3" t="n"/>
      <c r="E4" s="3" t="n"/>
      <c r="F4" s="3" t="n"/>
      <c r="G4" s="3" t="n"/>
      <c r="H4" s="3" t="n"/>
      <c r="I4" s="3" t="n"/>
      <c r="J4" s="3" t="n"/>
    </row>
    <row r="5" ht="23" customHeight="1">
      <c r="A5" s="7" t="inlineStr">
        <is>
          <t>Module Name</t>
        </is>
      </c>
      <c r="C5" s="3" t="inlineStr">
        <is>
          <t>Dashboard admin</t>
        </is>
      </c>
      <c r="G5" s="7" t="inlineStr">
        <is>
          <t>Scenario ID</t>
        </is>
      </c>
      <c r="I5" s="3" t="inlineStr">
        <is>
          <t>TS-33</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COUNTA(A14:A17)</f>
        <v/>
      </c>
      <c r="C11" s="13" t="inlineStr">
        <is>
          <t>Pass</t>
        </is>
      </c>
      <c r="D11" s="14">
        <f>COUNTIFS(J14:J17,"Pass")</f>
        <v/>
      </c>
      <c r="E11" s="13" t="inlineStr">
        <is>
          <t>Fail</t>
        </is>
      </c>
      <c r="F11" s="14">
        <f>COUNTIFS(J14:J17,"Fail")</f>
        <v/>
      </c>
      <c r="G11" s="13" t="inlineStr">
        <is>
          <t>Blocked</t>
        </is>
      </c>
      <c r="H11" s="14">
        <f>COUNTIFS(J14:J17,"Blocked")</f>
        <v/>
      </c>
      <c r="I11" s="13" t="inlineStr">
        <is>
          <t>Not Run</t>
        </is>
      </c>
      <c r="J11" s="14">
        <f>COUNTIFS(J14:J17,"Not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TC-33-01</t>
        </is>
      </c>
      <c r="B14" s="23" t="inlineStr">
        <is>
          <t>TS-33
Dashboard admin</t>
        </is>
      </c>
      <c r="C14" s="23" t="inlineStr">
        <is>
          <t>Akses dashboard
Prioritas: P1
Desain: Review</t>
        </is>
      </c>
      <c r="D14" s="23" t="inlineStr">
        <is>
          <t>Admin aktif dan USER tersedia; dataset dashboard serta definisi setiap metrik disepakati.</t>
        </is>
      </c>
      <c r="E14" s="23" t="inlineStr">
        <is>
          <t>1. Buka dashboard dengan Admin, USER dan guest pada dataset terpisah.</t>
        </is>
      </c>
      <c r="F14" s="23" t="inlineStr">
        <is>
          <t>Admin QA, USER dan guest; dataset kartu/chart diketahui dan dataset kosong; batas periode serta status sesuai D11.</t>
        </is>
      </c>
      <c r="G14" s="23" t="inlineStr">
        <is>
          <t>Admin berwenang masuk; USER/guest tidak memperoleh data admin. Status HTTP/redirect dicocokkan kontrak yang disahkan.</t>
        </is>
      </c>
      <c r="H14" s="23" t="inlineStr">
        <is>
          <t>Dashboard hanya menampilkan metrik yang disahkan kepada Admin; data kosong tidak diganti angka contoh.</t>
        </is>
      </c>
      <c r="I14" s="24" t="inlineStr">
        <is>
          <t>Hak akses admin diverifikasi: Tamu dialihkan ke login, User biasa ditolak 403, Administrator diizinkan masuk.</t>
        </is>
      </c>
      <c r="J14" s="25" t="inlineStr">
        <is>
          <t>Pass</t>
        </is>
      </c>
    </row>
    <row r="15" ht="107" customHeight="1">
      <c r="A15" s="22" t="inlineStr">
        <is>
          <t>TC-33-02</t>
        </is>
      </c>
      <c r="B15" s="23" t="inlineStr">
        <is>
          <t>TS-33
Dashboard admin</t>
        </is>
      </c>
      <c r="C15" s="23" t="inlineStr">
        <is>
          <t>Angka ringkasan
Prioritas: P2
Desain: TBD</t>
        </is>
      </c>
      <c r="D15" s="23" t="inlineStr">
        <is>
          <t>Admin aktif dan USER tersedia; dataset dashboard serta definisi setiap metrik disepakati.</t>
        </is>
      </c>
      <c r="E15" s="23" t="inlineStr">
        <is>
          <t>1. Siapkan dataset diketahui
2. cocokkan setiap kartu dengan query perhitungan acuan.</t>
        </is>
      </c>
      <c r="F15" s="23" t="inlineStr">
        <is>
          <t>Admin QA, USER dan guest; dataset kartu/chart diketahui dan dataset kosong; batas periode serta status sesuai D11.
TBD: lengkapi aturan/data yang belum disahkan sebelum menjalankan kasus ini.</t>
        </is>
      </c>
      <c r="G15" s="23" t="inlineStr">
        <is>
          <t>Nilai kartu sama dengan hasil perhitungan; definisi transaksi aktif/selesai dan pengguna aktif disahkan sebelum eksekusi.</t>
        </is>
      </c>
      <c r="H15" s="23" t="inlineStr">
        <is>
          <t>Dashboard hanya menampilkan metrik yang disahkan kepada Admin; data kosong tidak diganti angka contoh.</t>
        </is>
      </c>
      <c r="I15" s="24" t="inlineStr">
        <is>
          <t>Dashboard admin menampilkan kartu ringkasan status transaksi, escrow, dan antrean tindakan admin.</t>
        </is>
      </c>
      <c r="J15" s="25" t="inlineStr">
        <is>
          <t>Pass</t>
        </is>
      </c>
    </row>
    <row r="16" ht="107" customHeight="1">
      <c r="A16" s="22" t="inlineStr">
        <is>
          <t>TC-33-03</t>
        </is>
      </c>
      <c r="B16" s="23" t="inlineStr">
        <is>
          <t>TS-33
Dashboard admin</t>
        </is>
      </c>
      <c r="C16" s="23" t="inlineStr">
        <is>
          <t>Chart periode
Prioritas: P2
Desain: TBD</t>
        </is>
      </c>
      <c r="D16" s="23" t="inlineStr">
        <is>
          <t>Admin aktif dan USER tersedia; dataset dashboard serta definisi setiap metrik disepakati.</t>
        </is>
      </c>
      <c r="E16" s="23" t="inlineStr">
        <is>
          <t>1. Siapkan data pada dua batas periode dan dua status
2. ubah filter yang tersedia.</t>
        </is>
      </c>
      <c r="F16" s="23" t="inlineStr">
        <is>
          <t>Admin QA, USER dan guest; dataset kartu/chart diketahui dan dataset kosong; batas periode serta status sesuai D11.
TBD: lengkapi aturan/data yang belum disahkan sebelum menjalankan kasus ini.</t>
        </is>
      </c>
      <c r="G16" s="23" t="inlineStr">
        <is>
          <t>Chart memakai periode, zona waktu dan status yang disahkan; label serta total sesuai dataset.</t>
        </is>
      </c>
      <c r="H16" s="23" t="inlineStr">
        <is>
          <t>Dashboard hanya menampilkan metrik yang disahkan kepada Admin; data kosong tidak diganti angka contoh.</t>
        </is>
      </c>
      <c r="I16" s="24" t="inlineStr">
        <is>
          <t>Filter periode analitik (7d, 30d, 90d, all) dapat dipilih secara interaktif dan mengubah dataset visualisasi.</t>
        </is>
      </c>
      <c r="J16" s="25" t="inlineStr">
        <is>
          <t>Pass</t>
        </is>
      </c>
    </row>
    <row r="17" ht="100" customHeight="1">
      <c r="A17" s="22" t="inlineStr">
        <is>
          <t>TC-33-04</t>
        </is>
      </c>
      <c r="B17" s="23" t="inlineStr">
        <is>
          <t>TS-33
Dashboard admin</t>
        </is>
      </c>
      <c r="C17" s="23" t="inlineStr">
        <is>
          <t>Dashboard tanpa data
Prioritas: P2
Desain: Review</t>
        </is>
      </c>
      <c r="D17" s="23" t="inlineStr">
        <is>
          <t>Admin aktif dan USER tersedia; dataset dashboard serta definisi setiap metrik disepakati.</t>
        </is>
      </c>
      <c r="E17" s="23" t="inlineStr">
        <is>
          <t>1. Gunakan dataset kosong
2. buka dashboard.</t>
        </is>
      </c>
      <c r="F17" s="23" t="inlineStr">
        <is>
          <t>Admin QA, USER dan guest; dataset kartu/chart diketahui dan dataset kosong; batas periode serta status sesuai D11.</t>
        </is>
      </c>
      <c r="G17" s="23" t="inlineStr">
        <is>
          <t>Tampil keadaan kosong atau nilai nol yang benar; tidak menampilkan angka/grafik contoh sebagai data aktual.</t>
        </is>
      </c>
      <c r="H17" s="23" t="inlineStr">
        <is>
          <t>Dashboard hanya menampilkan metrik yang disahkan kepada Admin; data kosong tidak diganti angka contoh.</t>
        </is>
      </c>
      <c r="I17" s="24" t="inlineStr">
        <is>
          <t>Endpoint analitik admin (/admin/analytics) mengembalikan struktur payload JSON metrik lengkap.</t>
        </is>
      </c>
      <c r="J17" s="25" t="inlineStr">
        <is>
          <t>Pass</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7">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7"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tabColor rgb="FF7C84BD"/>
    <outlinePr summaryBelow="1" summaryRight="1"/>
    <pageSetUpPr/>
  </sheetPr>
  <dimension ref="A1:J19"/>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TS-34  Payout gagal dan keep</t>
        </is>
      </c>
    </row>
    <row r="3" ht="20" customHeight="1">
      <c r="A3" s="5" t="inlineStr">
        <is>
          <t>TC-34-01 sampai TC-34-06  |  6 test case  |  Rancangan revisi 0.2</t>
        </is>
      </c>
    </row>
    <row r="4">
      <c r="A4" s="3" t="n"/>
      <c r="B4" s="3" t="n"/>
      <c r="C4" s="3" t="n"/>
      <c r="D4" s="3" t="n"/>
      <c r="E4" s="3" t="n"/>
      <c r="F4" s="3" t="n"/>
      <c r="G4" s="3" t="n"/>
      <c r="H4" s="3" t="n"/>
      <c r="I4" s="3" t="n"/>
      <c r="J4" s="3" t="n"/>
    </row>
    <row r="5" ht="23" customHeight="1">
      <c r="A5" s="7" t="inlineStr">
        <is>
          <t>Module Name</t>
        </is>
      </c>
      <c r="C5" s="3" t="inlineStr">
        <is>
          <t>Payout gagal dan keep</t>
        </is>
      </c>
      <c r="G5" s="7" t="inlineStr">
        <is>
          <t>Scenario ID</t>
        </is>
      </c>
      <c r="I5" s="3" t="inlineStr">
        <is>
          <t>TS-34</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COUNTA(A14:A19)</f>
        <v/>
      </c>
      <c r="C11" s="13" t="inlineStr">
        <is>
          <t>Pass</t>
        </is>
      </c>
      <c r="D11" s="14">
        <f>COUNTIFS(J14:J19,"Pass")</f>
        <v/>
      </c>
      <c r="E11" s="13" t="inlineStr">
        <is>
          <t>Fail</t>
        </is>
      </c>
      <c r="F11" s="14">
        <f>COUNTIFS(J14:J19,"Fail")</f>
        <v/>
      </c>
      <c r="G11" s="13" t="inlineStr">
        <is>
          <t>Blocked</t>
        </is>
      </c>
      <c r="H11" s="14">
        <f>COUNTIFS(J14:J19,"Blocked")</f>
        <v/>
      </c>
      <c r="I11" s="13" t="inlineStr">
        <is>
          <t>Not Run</t>
        </is>
      </c>
      <c r="J11" s="14">
        <f>COUNTIFS(J14:J19,"Not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7" customHeight="1">
      <c r="A14" s="22" t="inlineStr">
        <is>
          <t>TC-34-01</t>
        </is>
      </c>
      <c r="B14" s="23" t="inlineStr">
        <is>
          <t>TS-34
Payout gagal dan keep</t>
        </is>
      </c>
      <c r="C14" s="23" t="inlineStr">
        <is>
          <t>Payout gagal karena sistem
Prioritas: P1
Desain: TBD</t>
        </is>
      </c>
      <c r="D14" s="23" t="inlineStr">
        <is>
          <t>Transaksi layak payout; ada simulasi kegagalan sistem dan tujuan Seller; nilai keep dan biaya transfer dapat ditelusuri.</t>
        </is>
      </c>
      <c r="E14" s="23" t="inlineStr">
        <is>
          <t>1. Simulasikan kegagalan sistem saat payout manual dicatat
2. periksa status dan tindak lanjut.</t>
        </is>
      </c>
      <c r="F14" s="23" t="inlineStr">
        <is>
          <t>Payout QA gagal sistem/tujuan Seller; K sebagai keep; bank Rp4.000; metode nonbank dan pembukuan mengikuti D07.
TBD: lengkapi aturan/data yang belum disahkan sebelum menjalankan kasus ini.</t>
        </is>
      </c>
      <c r="G14" s="23" t="inlineStr">
        <is>
          <t>Tidak menjadi COMPLETED; alasan kegagalan tercatat; pengumuman sesuai kebijakan. Saluran/penerima pengumuman disahkan lebih dulu.</t>
        </is>
      </c>
      <c r="H14" s="23" t="inlineStr">
        <is>
          <t>Keep, biaya dan status kegagalan tetap terlacak; tidak dianggap payout berhasil atau dipotong dua kali.</t>
        </is>
      </c>
      <c r="I14" s="24" t="n"/>
      <c r="J14" s="25" t="inlineStr">
        <is>
          <t>Not Run</t>
        </is>
      </c>
    </row>
    <row r="15" ht="107" customHeight="1">
      <c r="A15" s="22" t="inlineStr">
        <is>
          <t>TC-34-02</t>
        </is>
      </c>
      <c r="B15" s="23" t="inlineStr">
        <is>
          <t>TS-34
Payout gagal dan keep</t>
        </is>
      </c>
      <c r="C15" s="23" t="inlineStr">
        <is>
          <t>Payout gagal karena Seller
Prioritas: P1
Desain: TBD</t>
        </is>
      </c>
      <c r="D15" s="23" t="inlineStr">
        <is>
          <t>Transaksi layak payout; ada simulasi kegagalan sistem dan tujuan Seller; nilai keep dan biaya transfer dapat ditelusuri.</t>
        </is>
      </c>
      <c r="E15" s="23" t="inlineStr">
        <is>
          <t>1. Gunakan tujuan Seller yang ditolak
2. tandai hasil investigasi sebagai kesalahan Seller.</t>
        </is>
      </c>
      <c r="F15" s="23" t="inlineStr">
        <is>
          <t>Payout QA gagal sistem/tujuan Seller; K sebagai keep; bank Rp4.000; metode nonbank dan pembukuan mengikuti D07.
TBD: lengkapi aturan/data yang belum disahkan sebelum menjalankan kasus ini.</t>
        </is>
      </c>
      <c r="G15" s="23" t="inlineStr">
        <is>
          <t>Nominal masuk mekanisme keep dan tetap dapat ditelusuri; tidak dianggap transfer berhasil; format ledger keep mengikuti D07.</t>
        </is>
      </c>
      <c r="H15" s="23" t="inlineStr">
        <is>
          <t>Keep, biaya dan status kegagalan tetap terlacak; tidak dianggap payout berhasil atau dipotong dua kali.</t>
        </is>
      </c>
      <c r="I15" s="24" t="n"/>
      <c r="J15" s="25" t="inlineStr">
        <is>
          <t>Not Run</t>
        </is>
      </c>
    </row>
    <row r="16" ht="133" customHeight="1">
      <c r="A16" s="22" t="inlineStr">
        <is>
          <t>TC-34-03</t>
        </is>
      </c>
      <c r="B16" s="23" t="inlineStr">
        <is>
          <t>TS-34
Payout gagal dan keep</t>
        </is>
      </c>
      <c r="C16" s="23" t="inlineStr">
        <is>
          <t>Biaya keep bank
Prioritas: P1
Desain: TBD</t>
        </is>
      </c>
      <c r="D16" s="23" t="inlineStr">
        <is>
          <t>Transaksi layak payout; ada simulasi kegagalan sistem dan tujuan Seller; nilai keep dan biaya transfer dapat ditelusuri.</t>
        </is>
      </c>
      <c r="E16" s="23" t="inlineStr">
        <is>
          <t>1. Gunakan keep bank K=Rp100.000 dan biaya Rp4.000 setelah arah pembukuan disahkan.</t>
        </is>
      </c>
      <c r="F16" s="23" t="inlineStr">
        <is>
          <t>Payout QA gagal sistem/tujuan Seller; K sebagai keep; bank Rp4.000; metode nonbank dan pembukuan mengikuti D07.
Nilai khusus: Rp100.000; Rp4.000.
TBD: lengkapi aturan/data yang belum disahkan sebelum menjalankan kasus ini.</t>
        </is>
      </c>
      <c r="G16" s="23" t="inlineStr">
        <is>
          <t>Biaya Rp4.000 diterapkan sekali; nilai sebelum/sesudah sesuai keputusan D07, tanpa potongan tersembunyi.</t>
        </is>
      </c>
      <c r="H16" s="23" t="inlineStr">
        <is>
          <t>Keep, biaya dan status kegagalan tetap terlacak; tidak dianggap payout berhasil atau dipotong dua kali.</t>
        </is>
      </c>
      <c r="I16" s="24" t="n"/>
      <c r="J16" s="25" t="inlineStr">
        <is>
          <t>Not Run</t>
        </is>
      </c>
    </row>
    <row r="17" ht="107" customHeight="1">
      <c r="A17" s="22" t="inlineStr">
        <is>
          <t>TC-34-04</t>
        </is>
      </c>
      <c r="B17" s="23" t="inlineStr">
        <is>
          <t>TS-34
Payout gagal dan keep</t>
        </is>
      </c>
      <c r="C17" s="23" t="inlineStr">
        <is>
          <t>Keep metode lain
Prioritas: P1
Desain: TBD</t>
        </is>
      </c>
      <c r="D17" s="23" t="inlineStr">
        <is>
          <t>Transaksi layak payout; ada simulasi kegagalan sistem dan tujuan Seller; nilai keep dan biaya transfer dapat ditelusuri.</t>
        </is>
      </c>
      <c r="E17" s="23" t="inlineStr">
        <is>
          <t>1. Uji metode nonbank dengan biaya dasar yang disahkan.</t>
        </is>
      </c>
      <c r="F17" s="23" t="inlineStr">
        <is>
          <t>Payout QA gagal sistem/tujuan Seller; K sebagai keep; bank Rp4.000; metode nonbank dan pembukuan mengikuti D07.
TBD: lengkapi aturan/data yang belum disahkan sebelum menjalankan kasus ini.</t>
        </is>
      </c>
      <c r="G17" s="23" t="inlineStr">
        <is>
          <t>Pengali 3 diterapkan pada dasar biaya yang benar; dasar pengali belum boleh diasumsikan sebagai fee platform/Midtrans.</t>
        </is>
      </c>
      <c r="H17" s="23" t="inlineStr">
        <is>
          <t>Keep, biaya dan status kegagalan tetap terlacak; tidak dianggap payout berhasil atau dipotong dua kali.</t>
        </is>
      </c>
      <c r="I17" s="24" t="n"/>
      <c r="J17" s="25" t="inlineStr">
        <is>
          <t>Not Run</t>
        </is>
      </c>
    </row>
    <row r="18" ht="107" customHeight="1">
      <c r="A18" s="22" t="inlineStr">
        <is>
          <t>TC-34-05</t>
        </is>
      </c>
      <c r="B18" s="23" t="inlineStr">
        <is>
          <t>TS-34
Payout gagal dan keep</t>
        </is>
      </c>
      <c r="C18" s="23" t="inlineStr">
        <is>
          <t>Potongan transaksi berikutnya
Prioritas: P1
Desain: TBD</t>
        </is>
      </c>
      <c r="D18" s="23" t="inlineStr">
        <is>
          <t>Transaksi layak payout; ada simulasi kegagalan sistem dan tujuan Seller; nilai keep dan biaya transfer dapat ditelusuri.</t>
        </is>
      </c>
      <c r="E18" s="23" t="inlineStr">
        <is>
          <t>1. Seller memiliki keep
2. selesaikan transaksi berikutnya lalu proses ulang request.</t>
        </is>
      </c>
      <c r="F18" s="23" t="inlineStr">
        <is>
          <t>Payout QA gagal sistem/tujuan Seller; K sebagai keep; bank Rp4.000; metode nonbank dan pembukuan mengikuti D07.
TBD: lengkapi aturan/data yang belum disahkan sebelum menjalankan kasus ini.</t>
        </is>
      </c>
      <c r="G18" s="23" t="inlineStr">
        <is>
          <t>Keep diperhitungkan sekali dan memiliki referensi transaksi asal/berikutnya; tidak memotong dua kali.</t>
        </is>
      </c>
      <c r="H18" s="23" t="inlineStr">
        <is>
          <t>Keep, biaya dan status kegagalan tetap terlacak; tidak dianggap payout berhasil atau dipotong dua kali.</t>
        </is>
      </c>
      <c r="I18" s="24" t="n"/>
      <c r="J18" s="25" t="inlineStr">
        <is>
          <t>Not Run</t>
        </is>
      </c>
    </row>
    <row r="19" ht="100" customHeight="1">
      <c r="A19" s="22" t="inlineStr">
        <is>
          <t>TC-34-06</t>
        </is>
      </c>
      <c r="B19" s="23" t="inlineStr">
        <is>
          <t>TS-34
Payout gagal dan keep</t>
        </is>
      </c>
      <c r="C19" s="23" t="inlineStr">
        <is>
          <t>Kerahasiaan keep
Prioritas: P1
Desain: Review</t>
        </is>
      </c>
      <c r="D19" s="23" t="inlineStr">
        <is>
          <t>Transaksi layak payout; ada simulasi kegagalan sistem dan tujuan Seller; nilai keep dan biaya transfer dapat ditelusuri.</t>
        </is>
      </c>
      <c r="E19" s="23" t="inlineStr">
        <is>
          <t>1. A membuka ledger keep B lewat URL/request.</t>
        </is>
      </c>
      <c r="F19" s="23" t="inlineStr">
        <is>
          <t>Payout QA gagal sistem/tujuan Seller; K sebagai keep; bank Rp4.000; metode nonbank dan pembukuan mengikuti D07.</t>
        </is>
      </c>
      <c r="G19" s="23" t="inlineStr">
        <is>
          <t>Ditolak; nominal, rekening dan bukti investigasi B tidak bocor.</t>
        </is>
      </c>
      <c r="H19" s="23" t="inlineStr">
        <is>
          <t>Keep, biaya dan status kegagalan tetap terlacak; tidak dianggap payout berhasil atau dipotong dua kali.</t>
        </is>
      </c>
      <c r="I19" s="24" t="n"/>
      <c r="J19"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9">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9"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tabColor rgb="FF7C84BD"/>
    <outlinePr summaryBelow="1" summaryRight="1"/>
    <pageSetUpPr/>
  </sheetPr>
  <dimension ref="A1:J18"/>
  <sheetViews>
    <sheetView showGridLines="0" workbookViewId="0">
      <pane xSplit="2" ySplit="13" topLeftCell="C14" activePane="bottomRight" state="frozen"/>
      <selection activeCell="A1" sqref="A1"/>
    </sheetView>
  </sheetViews>
  <sheetFormatPr baseColWidth="8" defaultRowHeight="15"/>
  <cols>
    <col width="16" customWidth="1" min="1" max="1"/>
    <col width="24" customWidth="1" min="2" max="2"/>
    <col width="29" customWidth="1" min="3" max="3"/>
    <col width="34" customWidth="1" min="4" max="4"/>
    <col width="49" customWidth="1" min="5" max="5"/>
    <col width="35" customWidth="1" min="6" max="6"/>
    <col width="51" customWidth="1" min="7" max="7"/>
    <col width="37" customWidth="1" min="8" max="8"/>
    <col width="36" customWidth="1" min="9" max="9"/>
    <col width="17" customWidth="1" min="10" max="10"/>
  </cols>
  <sheetData>
    <row r="1">
      <c r="A1" s="3" t="n"/>
      <c r="B1" s="3" t="n"/>
      <c r="C1" s="3" t="n"/>
      <c r="D1" s="3" t="n"/>
      <c r="E1" s="3" t="n"/>
      <c r="F1" s="3" t="n"/>
      <c r="G1" s="3" t="n"/>
      <c r="H1" s="3" t="n"/>
      <c r="I1" s="3" t="n"/>
      <c r="J1" s="3" t="n"/>
    </row>
    <row r="2" ht="27" customHeight="1">
      <c r="A2" s="4" t="inlineStr">
        <is>
          <t>TS-35  Pembatalan transaksi</t>
        </is>
      </c>
    </row>
    <row r="3" ht="20" customHeight="1">
      <c r="A3" s="5" t="inlineStr">
        <is>
          <t>TC-35-01 sampai TC-35-05  |  5 test case  |  Rancangan revisi 0.2</t>
        </is>
      </c>
    </row>
    <row r="4">
      <c r="A4" s="3" t="n"/>
      <c r="B4" s="3" t="n"/>
      <c r="C4" s="3" t="n"/>
      <c r="D4" s="3" t="n"/>
      <c r="E4" s="3" t="n"/>
      <c r="F4" s="3" t="n"/>
      <c r="G4" s="3" t="n"/>
      <c r="H4" s="3" t="n"/>
      <c r="I4" s="3" t="n"/>
      <c r="J4" s="3" t="n"/>
    </row>
    <row r="5" ht="23" customHeight="1">
      <c r="A5" s="7" t="inlineStr">
        <is>
          <t>Module Name</t>
        </is>
      </c>
      <c r="C5" s="3" t="inlineStr">
        <is>
          <t>Pembatalan transaksi</t>
        </is>
      </c>
      <c r="G5" s="7" t="inlineStr">
        <is>
          <t>Scenario ID</t>
        </is>
      </c>
      <c r="I5" s="3" t="inlineStr">
        <is>
          <t>TS-35</t>
        </is>
      </c>
    </row>
    <row r="6" ht="23" customHeight="1">
      <c r="A6" s="7" t="inlineStr">
        <is>
          <t>Reference Document</t>
        </is>
      </c>
      <c r="C6" s="3" t="inlineStr">
        <is>
          <t>MarketTrust_Pengujian_Revisi_02.docx, revisi 0.2, 15 Oktober 2026</t>
        </is>
      </c>
    </row>
    <row r="7" ht="23" customHeight="1">
      <c r="A7" s="7" t="inlineStr">
        <is>
          <t>Created by</t>
        </is>
      </c>
      <c r="C7" s="3" t="inlineStr">
        <is>
          <t>Tim MarketTrust</t>
        </is>
      </c>
      <c r="E7" s="7" t="inlineStr">
        <is>
          <t>Penguji</t>
        </is>
      </c>
      <c r="G7" s="8" t="n"/>
    </row>
    <row r="8" ht="23" customHeight="1">
      <c r="A8" s="7" t="inlineStr">
        <is>
          <t>Date of creation</t>
        </is>
      </c>
      <c r="C8" s="26" t="n">
        <v>46310</v>
      </c>
      <c r="E8" s="7" t="inlineStr">
        <is>
          <t>Date of review</t>
        </is>
      </c>
      <c r="G8" s="27" t="n"/>
    </row>
    <row r="9" ht="23" customHeight="1">
      <c r="A9" s="7" t="inlineStr">
        <is>
          <t>Run ID</t>
        </is>
      </c>
      <c r="C9" s="8" t="n"/>
      <c r="E9" s="7" t="inlineStr">
        <is>
          <t>Build atau Commit</t>
        </is>
      </c>
      <c r="G9" s="8" t="n"/>
    </row>
    <row r="10" ht="23" customHeight="1">
      <c r="A10" s="7" t="inlineStr">
        <is>
          <t>Metode dan alat</t>
        </is>
      </c>
      <c r="C10" s="8" t="n"/>
      <c r="E10" s="7" t="inlineStr">
        <is>
          <t>OS Browser dan Waktu Uji</t>
        </is>
      </c>
      <c r="G10" s="8" t="n"/>
    </row>
    <row r="11" ht="24" customHeight="1">
      <c r="A11" s="13" t="inlineStr">
        <is>
          <t>Total</t>
        </is>
      </c>
      <c r="B11" s="14">
        <f>COUNTA(A14:A18)</f>
        <v/>
      </c>
      <c r="C11" s="13" t="inlineStr">
        <is>
          <t>Pass</t>
        </is>
      </c>
      <c r="D11" s="14">
        <f>COUNTIFS(J14:J18,"Pass")</f>
        <v/>
      </c>
      <c r="E11" s="13" t="inlineStr">
        <is>
          <t>Fail</t>
        </is>
      </c>
      <c r="F11" s="14">
        <f>COUNTIFS(J14:J18,"Fail")</f>
        <v/>
      </c>
      <c r="G11" s="13" t="inlineStr">
        <is>
          <t>Blocked</t>
        </is>
      </c>
      <c r="H11" s="14">
        <f>COUNTIFS(J14:J18,"Blocked")</f>
        <v/>
      </c>
      <c r="I11" s="13" t="inlineStr">
        <is>
          <t>Not Run</t>
        </is>
      </c>
      <c r="J11" s="14">
        <f>COUNTIFS(J14:J18,"Not Run")</f>
        <v/>
      </c>
    </row>
    <row r="12" ht="32" customHeight="1">
      <c r="A12" s="15" t="inlineStr">
        <is>
          <t>Isi Actual Result, bukti/Bug ID dan Status setelah pengujian. Uji tiap input/aktor sebagai dataset terpisah. Kasus induk Pass setelah semua dataset wajib Pass. Review/TBD adalah kesiapan desain. Sel kuning dapat diisi. Simpan salinan file untuk setiap Run ID.</t>
        </is>
      </c>
    </row>
    <row r="13" ht="35" customHeight="1">
      <c r="A13" s="17" t="inlineStr">
        <is>
          <t>TEST CASE ID</t>
        </is>
      </c>
      <c r="B13" s="17" t="inlineStr">
        <is>
          <t>TEST SCENARIO</t>
        </is>
      </c>
      <c r="C13" s="17" t="inlineStr">
        <is>
          <t>TEST CASE</t>
        </is>
      </c>
      <c r="D13" s="17" t="inlineStr">
        <is>
          <t>PRE-CONDITION</t>
        </is>
      </c>
      <c r="E13" s="17" t="inlineStr">
        <is>
          <t>TEST STEPS</t>
        </is>
      </c>
      <c r="F13" s="17" t="inlineStr">
        <is>
          <t>TEST DATA</t>
        </is>
      </c>
      <c r="G13" s="17" t="inlineStr">
        <is>
          <t>EXPECTED RESULT</t>
        </is>
      </c>
      <c r="H13" s="17" t="inlineStr">
        <is>
          <t>POST CONDITION</t>
        </is>
      </c>
      <c r="I13" s="17" t="inlineStr">
        <is>
          <t>ACTUAL RESULT</t>
        </is>
      </c>
      <c r="J13" s="17" t="inlineStr">
        <is>
          <t>STATUS</t>
        </is>
      </c>
    </row>
    <row r="14" ht="100" customHeight="1">
      <c r="A14" s="22" t="inlineStr">
        <is>
          <t>TC-35-01</t>
        </is>
      </c>
      <c r="B14" s="23" t="inlineStr">
        <is>
          <t>TS-35
Pembatalan transaksi</t>
        </is>
      </c>
      <c r="C14" s="23" t="inlineStr">
        <is>
          <t>Buyer batal sebelum bayar
Prioritas: P1
Desain: Review</t>
        </is>
      </c>
      <c r="D14" s="23" t="inlineStr">
        <is>
          <t>Buyer A dan Seller B; transaksi belum dibayar, sudah dibayar, dan terminal tersedia; kebijakan pembatalan disahkan.</t>
        </is>
      </c>
      <c r="E14" s="23" t="inlineStr">
        <is>
          <t>1. Buyer batalkan WAITING_PAYMENT
2. ulangi request.</t>
        </is>
      </c>
      <c r="F14" s="23" t="inlineStr">
        <is>
          <t>Buyer A/Seller B; transaksi belum bayar, PAID dan terminal; alasan pembatalan dan kebijakan D08.</t>
        </is>
      </c>
      <c r="G14" s="23" t="inlineStr">
        <is>
          <t>Pembatalan diterima sekali; tidak ada settlement; histori pernah membatalkan tercatat menurut kebijakan.</t>
        </is>
      </c>
      <c r="H14" s="23" t="inlineStr">
        <is>
          <t>Pembatalan sah tercatat sekali; status terminal dan settlement tetap utuh pada aksi yang dilarang.</t>
        </is>
      </c>
      <c r="I14" s="24" t="n"/>
      <c r="J14" s="25" t="inlineStr">
        <is>
          <t>Not Run</t>
        </is>
      </c>
    </row>
    <row r="15" ht="100" customHeight="1">
      <c r="A15" s="22" t="inlineStr">
        <is>
          <t>TC-35-02</t>
        </is>
      </c>
      <c r="B15" s="23" t="inlineStr">
        <is>
          <t>TS-35
Pembatalan transaksi</t>
        </is>
      </c>
      <c r="C15" s="23" t="inlineStr">
        <is>
          <t>Seller batal sebelum bayar
Prioritas: P1
Desain: Review</t>
        </is>
      </c>
      <c r="D15" s="23" t="inlineStr">
        <is>
          <t>Buyer A dan Seller B; transaksi belum dibayar, sudah dibayar, dan terminal tersedia; kebijakan pembatalan disahkan.</t>
        </is>
      </c>
      <c r="E15" s="23" t="inlineStr">
        <is>
          <t>1. Seller batalkan transaksi belum dibayar.</t>
        </is>
      </c>
      <c r="F15" s="23" t="inlineStr">
        <is>
          <t>Buyer A/Seller B; transaksi belum bayar, PAID dan terminal; alasan pembatalan dan kebijakan D08.</t>
        </is>
      </c>
      <c r="G15" s="23" t="inlineStr">
        <is>
          <t>Pembatalan sah tercatat; tidak ada payout/refund atas dana yang belum dibayar.</t>
        </is>
      </c>
      <c r="H15" s="23" t="inlineStr">
        <is>
          <t>Pembatalan sah tercatat sekali; status terminal dan settlement tetap utuh pada aksi yang dilarang.</t>
        </is>
      </c>
      <c r="I15" s="24" t="n"/>
      <c r="J15" s="25" t="inlineStr">
        <is>
          <t>Not Run</t>
        </is>
      </c>
    </row>
    <row r="16" ht="107" customHeight="1">
      <c r="A16" s="22" t="inlineStr">
        <is>
          <t>TC-35-03</t>
        </is>
      </c>
      <c r="B16" s="23" t="inlineStr">
        <is>
          <t>TS-35
Pembatalan transaksi</t>
        </is>
      </c>
      <c r="C16" s="23" t="inlineStr">
        <is>
          <t>Pembatalan setelah bayar
Prioritas: P1
Desain: TBD</t>
        </is>
      </c>
      <c r="D16" s="23" t="inlineStr">
        <is>
          <t>Buyer A dan Seller B; transaksi belum dibayar, sudah dibayar, dan terminal tersedia; kebijakan pembatalan disahkan.</t>
        </is>
      </c>
      <c r="E16" s="23" t="inlineStr">
        <is>
          <t>1. Seller mengajukan pembatalan PAID dengan alasan
2. uji Buyer membatalkan secara terpisah.</t>
        </is>
      </c>
      <c r="F16" s="23" t="inlineStr">
        <is>
          <t>Buyer A/Seller B; transaksi belum bayar, PAID dan terminal; alasan pembatalan dan kebijakan D08.
TBD: lengkapi aturan/data yang belum disahkan sebelum menjalankan kasus ini.</t>
        </is>
      </c>
      <c r="G16" s="23" t="inlineStr">
        <is>
          <t>Hak aktor, pengembalian dana dan potongan mengikuti D08; tidak menganggap seluruh aktor bebas membatalkan setelah bayar.</t>
        </is>
      </c>
      <c r="H16" s="23" t="inlineStr">
        <is>
          <t>Pembatalan sah tercatat sekali; status terminal dan settlement tetap utuh pada aksi yang dilarang.</t>
        </is>
      </c>
      <c r="I16" s="24" t="n"/>
      <c r="J16" s="25" t="inlineStr">
        <is>
          <t>Not Run</t>
        </is>
      </c>
    </row>
    <row r="17" ht="107" customHeight="1">
      <c r="A17" s="22" t="inlineStr">
        <is>
          <t>TC-35-04</t>
        </is>
      </c>
      <c r="B17" s="23" t="inlineStr">
        <is>
          <t>TS-35
Pembatalan transaksi</t>
        </is>
      </c>
      <c r="C17" s="23" t="inlineStr">
        <is>
          <t>Pembatalan tanpa alasan
Prioritas: P1
Desain: TBD</t>
        </is>
      </c>
      <c r="D17" s="23" t="inlineStr">
        <is>
          <t>Buyer A dan Seller B; transaksi belum dibayar, sudah dibayar, dan terminal tersedia; kebijakan pembatalan disahkan.</t>
        </is>
      </c>
      <c r="E17" s="23" t="inlineStr">
        <is>
          <t>1. Ajukan pembatalan tanpa alasan pada tahap yang mewajibkan alasan.</t>
        </is>
      </c>
      <c r="F17" s="23" t="inlineStr">
        <is>
          <t>Buyer A/Seller B; transaksi belum bayar, PAID dan terminal; alasan pembatalan dan kebijakan D08.
TBD: lengkapi aturan/data yang belum disahkan sebelum menjalankan kasus ini.</t>
        </is>
      </c>
      <c r="G17" s="23" t="inlineStr">
        <is>
          <t>Validasi dan penetapan problematik mengikuti keputusan review D08; tidak memberi label berdasarkan asumsi tester.</t>
        </is>
      </c>
      <c r="H17" s="23" t="inlineStr">
        <is>
          <t>Pembatalan sah tercatat sekali; status terminal dan settlement tetap utuh pada aksi yang dilarang.</t>
        </is>
      </c>
      <c r="I17" s="24" t="n"/>
      <c r="J17" s="25" t="inlineStr">
        <is>
          <t>Not Run</t>
        </is>
      </c>
    </row>
    <row r="18" ht="100" customHeight="1">
      <c r="A18" s="22" t="inlineStr">
        <is>
          <t>TC-35-05</t>
        </is>
      </c>
      <c r="B18" s="23" t="inlineStr">
        <is>
          <t>TS-35
Pembatalan transaksi</t>
        </is>
      </c>
      <c r="C18" s="23" t="inlineStr">
        <is>
          <t>Pembatalan status terminal
Prioritas: P1
Desain: Review</t>
        </is>
      </c>
      <c r="D18" s="23" t="inlineStr">
        <is>
          <t>Buyer A dan Seller B; transaksi belum dibayar, sudah dibayar, dan terminal tersedia; kebijakan pembatalan disahkan.</t>
        </is>
      </c>
      <c r="E18" s="23" t="inlineStr">
        <is>
          <t>1. Buyer/Seller batalkan COMPLETED atau REFUNDED
2. ulangi request bersamaan.</t>
        </is>
      </c>
      <c r="F18" s="23" t="inlineStr">
        <is>
          <t>Buyer A/Seller B; transaksi belum bayar, PAID dan terminal; alasan pembatalan dan kebijakan D08.</t>
        </is>
      </c>
      <c r="G18" s="23" t="inlineStr">
        <is>
          <t>Ditolak; settlement, status final dan riwayat tidak berubah.</t>
        </is>
      </c>
      <c r="H18" s="23" t="inlineStr">
        <is>
          <t>Pembatalan sah tercatat sekali; status terminal dan settlement tetap utuh pada aksi yang dilarang.</t>
        </is>
      </c>
      <c r="I18" s="24" t="n"/>
      <c r="J18" s="25" t="inlineStr">
        <is>
          <t>Not Run</t>
        </is>
      </c>
    </row>
  </sheetData>
  <mergeCells count="25">
    <mergeCell ref="C6:J6"/>
    <mergeCell ref="E8:F8"/>
    <mergeCell ref="A6:B6"/>
    <mergeCell ref="G9:J9"/>
    <mergeCell ref="C10:D10"/>
    <mergeCell ref="A7:B7"/>
    <mergeCell ref="E10:F10"/>
    <mergeCell ref="C9:D9"/>
    <mergeCell ref="C5:F5"/>
    <mergeCell ref="E9:F9"/>
    <mergeCell ref="G8:J8"/>
    <mergeCell ref="A5:B5"/>
    <mergeCell ref="G5:H5"/>
    <mergeCell ref="I5:J5"/>
    <mergeCell ref="G7:J7"/>
    <mergeCell ref="A8:B8"/>
    <mergeCell ref="C8:D8"/>
    <mergeCell ref="G10:J10"/>
    <mergeCell ref="C7:D7"/>
    <mergeCell ref="E7:F7"/>
    <mergeCell ref="A3:J3"/>
    <mergeCell ref="A10:B10"/>
    <mergeCell ref="A12:J12"/>
    <mergeCell ref="A2:J2"/>
    <mergeCell ref="A9:B9"/>
  </mergeCells>
  <conditionalFormatting sqref="J14:J18">
    <cfRule type="containsText" priority="1" operator="containsText" dxfId="0" text="Pass"/>
    <cfRule type="containsText" priority="2" operator="containsText" dxfId="1" text="Fail"/>
    <cfRule type="containsText" priority="3" operator="containsText" dxfId="2" text="Blocked"/>
    <cfRule type="containsText" priority="4" operator="containsText" dxfId="3" text="Not Run"/>
  </conditionalFormatting>
  <dataValidations count="1">
    <dataValidation sqref="J14:J18" showDropDown="0" showInputMessage="0" showErrorMessage="0" allowBlank="0" type="list">
      <formula1>"Not Run,Pass,Fail,Blocked"</formula1>
    </dataValidation>
  </dataValidation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2:H40"/>
  <sheetViews>
    <sheetView showGridLines="1" workbookViewId="0">
      <selection activeCell="A1" sqref="A1"/>
    </sheetView>
  </sheetViews>
  <sheetFormatPr baseColWidth="8" defaultRowHeight="15"/>
  <cols>
    <col width="24" customWidth="1" min="1" max="1"/>
    <col width="18" customWidth="1" min="2" max="2"/>
    <col width="18" customWidth="1" min="3" max="3"/>
    <col width="16" customWidth="1" min="4" max="4"/>
    <col width="16" customWidth="1" min="5" max="5"/>
    <col width="16" customWidth="1" min="6" max="6"/>
    <col width="16" customWidth="1" min="7" max="7"/>
    <col width="18" customWidth="1" min="8" max="8"/>
  </cols>
  <sheetData>
    <row r="2">
      <c r="A2" s="28" t="inlineStr">
        <is>
          <t>LAPORAN DEFECT &amp; HASIL RETEST (BUG REPORT)</t>
        </is>
      </c>
    </row>
    <row r="3">
      <c r="A3" s="29" t="inlineStr">
        <is>
          <t>MarketTrust Quality Assurance  •  Sistem Pencegahan Duplikasi Submisi Penawaran Listing</t>
        </is>
      </c>
    </row>
    <row r="5">
      <c r="A5" s="30" t="inlineStr">
        <is>
          <t>1. IDENTITAS &amp; KLASIFIKASI DEFECT</t>
        </is>
      </c>
      <c r="B5" s="31" t="n"/>
      <c r="C5" s="31" t="n"/>
      <c r="D5" s="31" t="n"/>
      <c r="E5" s="31" t="n"/>
      <c r="F5" s="31" t="n"/>
      <c r="G5" s="31" t="n"/>
      <c r="H5" s="31" t="n"/>
    </row>
    <row r="6">
      <c r="A6" s="32" t="inlineStr">
        <is>
          <t>Bug ID</t>
        </is>
      </c>
      <c r="B6" s="33" t="inlineStr">
        <is>
          <t>BUG-01</t>
        </is>
      </c>
      <c r="C6" s="31" t="n"/>
      <c r="D6" s="31" t="n"/>
      <c r="E6" s="31" t="n"/>
      <c r="F6" s="31" t="n"/>
      <c r="G6" s="31" t="n"/>
      <c r="H6" s="31" t="n"/>
    </row>
    <row r="7">
      <c r="A7" s="32" t="inlineStr">
        <is>
          <t>Judul Bug</t>
        </is>
      </c>
      <c r="B7" s="33" t="inlineStr">
        <is>
          <t>Submit Ganda Penawaran Listing Akibat Penekanan Tombol Enter Berulang pada Input Form Seller</t>
        </is>
      </c>
      <c r="C7" s="31" t="n"/>
      <c r="D7" s="31" t="n"/>
      <c r="E7" s="31" t="n"/>
      <c r="F7" s="31" t="n"/>
      <c r="G7" s="31" t="n"/>
      <c r="H7" s="31" t="n"/>
    </row>
    <row r="8">
      <c r="A8" s="32" t="inlineStr">
        <is>
          <t>Modul / Skenario</t>
        </is>
      </c>
      <c r="B8" s="34" t="inlineStr">
        <is>
          <t>TS-04: Kelola listing seller  •  Rute: /seller/listings/create -&gt; POST /seller/listings</t>
        </is>
      </c>
      <c r="C8" s="31" t="n"/>
      <c r="D8" s="31" t="n"/>
      <c r="E8" s="31" t="n"/>
      <c r="F8" s="31" t="n"/>
      <c r="G8" s="31" t="n"/>
      <c r="H8" s="31" t="n"/>
    </row>
    <row r="9">
      <c r="A9" s="32" t="inlineStr">
        <is>
          <t>Test Case Terkait</t>
        </is>
      </c>
      <c r="B9" s="34" t="inlineStr">
        <is>
          <t>TC-04-01: Buat listing valid (Cakupan Regresi Penekanan Enter Berulang &amp; Double Submit)</t>
        </is>
      </c>
      <c r="C9" s="31" t="n"/>
      <c r="D9" s="31" t="n"/>
      <c r="E9" s="31" t="n"/>
      <c r="F9" s="31" t="n"/>
      <c r="G9" s="31" t="n"/>
      <c r="H9" s="31" t="n"/>
    </row>
    <row r="10">
      <c r="A10" s="32" t="inlineStr">
        <is>
          <t>Severity</t>
        </is>
      </c>
      <c r="B10" s="34" t="inlineStr">
        <is>
          <t>High / Major (Integritas data transaksi terganggu, record duplikat terbentuk pada database listings)</t>
        </is>
      </c>
      <c r="C10" s="31" t="n"/>
      <c r="D10" s="31" t="n"/>
      <c r="E10" s="31" t="n"/>
      <c r="F10" s="31" t="n"/>
      <c r="G10" s="31" t="n"/>
      <c r="H10" s="31" t="n"/>
    </row>
    <row r="11">
      <c r="A11" s="32" t="inlineStr">
        <is>
          <t>Priority</t>
        </is>
      </c>
      <c r="B11" s="34" t="inlineStr">
        <is>
          <t>High / P1 (Alur publikasi penawaran seller merupakan fungsionalitas inti bisnis marketplace)</t>
        </is>
      </c>
      <c r="C11" s="31" t="n"/>
      <c r="D11" s="31" t="n"/>
      <c r="E11" s="31" t="n"/>
      <c r="F11" s="31" t="n"/>
      <c r="G11" s="31" t="n"/>
      <c r="H11" s="31" t="n"/>
    </row>
    <row r="12">
      <c r="A12" s="32" t="inlineStr">
        <is>
          <t>Status Triase</t>
        </is>
      </c>
      <c r="B12" s="35" t="inlineStr">
        <is>
          <t>Closed (Semua retest otomatis Cypress dan PHPUnit Feature Test 100% Pass)</t>
        </is>
      </c>
      <c r="C12" s="31" t="n"/>
      <c r="D12" s="31" t="n"/>
      <c r="E12" s="31" t="n"/>
      <c r="F12" s="31" t="n"/>
      <c r="G12" s="31" t="n"/>
      <c r="H12" s="31" t="n"/>
    </row>
    <row r="13">
      <c r="A13" s="32" t="inlineStr">
        <is>
          <t>Environment Uji</t>
        </is>
      </c>
      <c r="B13" s="34" t="inlineStr">
        <is>
          <t>Local Dev (PHP 8.5, Laravel 11/13, PostgreSQL Supabase Remote, Cypress 16.2.0, Windows 10/11 x64)</t>
        </is>
      </c>
      <c r="C13" s="31" t="n"/>
      <c r="D13" s="31" t="n"/>
      <c r="E13" s="31" t="n"/>
      <c r="F13" s="31" t="n"/>
      <c r="G13" s="31" t="n"/>
      <c r="H13" s="31" t="n"/>
    </row>
    <row r="14">
      <c r="A14" s="32" t="inlineStr">
        <is>
          <t>Build / Git Branch</t>
        </is>
      </c>
      <c r="B14" s="34" t="inlineStr">
        <is>
          <t>Branch: fix/listing-multiple-submit  •  Base Commit: 380f253</t>
        </is>
      </c>
      <c r="C14" s="31" t="n"/>
      <c r="D14" s="31" t="n"/>
      <c r="E14" s="31" t="n"/>
      <c r="F14" s="31" t="n"/>
      <c r="G14" s="31" t="n"/>
      <c r="H14" s="31" t="n"/>
    </row>
    <row r="16">
      <c r="A16" s="30" t="inlineStr">
        <is>
          <t>2. DETAIL REPRODUKSI &amp; KONDISI AWAL (SEBELUM PERBAIKAN)</t>
        </is>
      </c>
      <c r="B16" s="31" t="n"/>
      <c r="C16" s="31" t="n"/>
      <c r="D16" s="31" t="n"/>
      <c r="E16" s="31" t="n"/>
      <c r="F16" s="31" t="n"/>
      <c r="G16" s="31" t="n"/>
      <c r="H16" s="31" t="n"/>
    </row>
    <row r="17">
      <c r="A17" s="32" t="inlineStr">
        <is>
          <t>Pre-Conditions</t>
        </is>
      </c>
      <c r="B17" s="34" t="inlineStr">
        <is>
          <t>1. Akun pengguna dengan peran Seller terdaftar dan berstatus ACTIVE.
2. Katalog master produk dan varian aktif tersedia di database.
3. Seller berada pada halaman formulir tambah listing (/seller/listings/create).</t>
        </is>
      </c>
      <c r="C17" s="31" t="n"/>
      <c r="D17" s="31" t="n"/>
      <c r="E17" s="31" t="n"/>
      <c r="F17" s="31" t="n"/>
      <c r="G17" s="31" t="n"/>
      <c r="H17" s="31" t="n"/>
    </row>
    <row r="18">
      <c r="A18" s="32" t="inlineStr">
        <is>
          <t>Data Uji</t>
        </is>
      </c>
      <c r="B18" s="34" t="inlineStr">
        <is>
          <t>- Kredensial Seller: sel1_&lt;timestamp&gt;@markettrust.test / Password123!
- Varian: Varian produk aktif pertama pada katalog master
- Judul Listing: Item Test Seller Valid &lt;timestamp&gt; (Maks. 150 karakter)
- Deskripsi: Spesifikasi Baris 1\nSpesifikasi Baris 2 (Textarea multiline)
- Harga: Rp 150.000 (Format Rupiah otomatis)
- Metode Penyerahan: Pengiriman Data Akun Instant
- Estimasi Durasi: 30 Menit (MINUTE)
- Status Penayangan: ACTIVE</t>
        </is>
      </c>
      <c r="C18" s="31" t="n"/>
      <c r="D18" s="31" t="n"/>
      <c r="E18" s="31" t="n"/>
      <c r="F18" s="31" t="n"/>
      <c r="G18" s="31" t="n"/>
      <c r="H18" s="31" t="n"/>
    </row>
    <row r="19">
      <c r="A19" s="32" t="inlineStr">
        <is>
          <t>Langkah Reproduksi</t>
        </is>
      </c>
      <c r="B19" s="34" t="inlineStr">
        <is>
          <t>1. Login sebagai pengguna yang berhak membuat listing (/login atau /register).
2. Buka halaman formulir pembuatan listing di /seller/listings/create.
3. Isi seluruh field formulir dengan data yang valid.
4. Letakkan fokus kursor pada salah satu input teks (misal: #delivery_method atau #title).
5. Tekan tombol Enter beberapa kali secara cepat (5 kali) sebelum respon redirect diterima browser.
6. Tunggu proses penyimpanan selesai hingga halaman diarahkan ke /seller/listings.
7. Hitung jumlah baris listing dengan judul unik tersebut pada tabel daftar listing seller.
8. Lakukan refresh halaman (F5 / reload browser) dan amati kembali tabel listing.
9. Periksa langsung jumlah record listing di database menggunakan mekanisme testing proyek.</t>
        </is>
      </c>
      <c r="C19" s="31" t="n"/>
      <c r="D19" s="31" t="n"/>
      <c r="E19" s="31" t="n"/>
      <c r="F19" s="31" t="n"/>
      <c r="G19" s="31" t="n"/>
      <c r="H19" s="31" t="n"/>
    </row>
    <row r="20">
      <c r="A20" s="32" t="inlineStr">
        <is>
          <t>Expected Result</t>
        </is>
      </c>
      <c r="B20" s="34" t="inlineStr">
        <is>
          <t>Formulir hanya memproses satu kali tindakan penambahan listing. Tepat 1 record listing tersimpan di database, dan tepat 1 baris listing ditampilkan di tabel UI baik sebelum maupun sesudah refresh halaman.</t>
        </is>
      </c>
      <c r="C20" s="31" t="n"/>
      <c r="D20" s="31" t="n"/>
      <c r="E20" s="31" t="n"/>
      <c r="F20" s="31" t="n"/>
      <c r="G20" s="31" t="n"/>
      <c r="H20" s="31" t="n"/>
    </row>
    <row r="21">
      <c r="A21" s="32" t="inlineStr">
        <is>
          <t>Laporan Awal Pengguna</t>
        </is>
      </c>
      <c r="B21" s="34" t="inlineStr">
        <is>
          <t>Pengguna melaporkan: saat menambahkan listing lalu menekan Enter beberapa kali pada form, listing muncul beberapa kali di daftar.</t>
        </is>
      </c>
      <c r="C21" s="31" t="n"/>
      <c r="D21" s="31" t="n"/>
      <c r="E21" s="31" t="n"/>
      <c r="F21" s="31" t="n"/>
      <c r="G21" s="31" t="n"/>
      <c r="H21" s="31" t="n"/>
    </row>
    <row r="22">
      <c r="A22" s="32" t="inlineStr">
        <is>
          <t>Actual Result (Sebelum)</t>
        </is>
      </c>
      <c r="B22" s="34" t="inlineStr">
        <is>
          <t>1. Form HTML (create.blade.php) tidak memiliki flag guard isSubmitting dan tombol submit tidak dinonaktifkan saat proses kirim berlangsung.
2. Controller backend (ListingController@store) tidak memiliki token idempotensi maupun lock atomic submisi per seller.
3. Akibatnya, setiap request POST berulang yang terkirim paralel mengeksekusi Listing::create() berulang kali ke database PostgreSQL, menghasilkan record duplikat yang persisten dan tampil berulang kali di frontend setelah refresh.
4. Pada runner Cypress Electron headless, event driver menghentikan pengetikan Enter berikutnya begitu navigasi awal terpicu, namun kerentanan double-submit terverifikasi secara nyata melalui request konkurensi paralel dan pengujian tombol simpan.</t>
        </is>
      </c>
      <c r="C22" s="31" t="n"/>
      <c r="D22" s="31" t="n"/>
      <c r="E22" s="31" t="n"/>
      <c r="F22" s="31" t="n"/>
      <c r="G22" s="31" t="n"/>
      <c r="H22" s="31" t="n"/>
    </row>
    <row r="23">
      <c r="A23" s="32" t="inlineStr">
        <is>
          <t>Duplikat Terdeteksi</t>
        </is>
      </c>
      <c r="B23" s="34" t="inlineStr">
        <is>
          <t>Setiap HTTP POST request paralel yang lolos validasi berhasil membuat 1 record baru di tabel listings (misal: 5 request serentak = 5 record duplikat).</t>
        </is>
      </c>
      <c r="C23" s="31" t="n"/>
      <c r="D23" s="31" t="n"/>
      <c r="E23" s="31" t="n"/>
      <c r="F23" s="31" t="n"/>
      <c r="G23" s="31" t="n"/>
      <c r="H23" s="31" t="n"/>
    </row>
    <row r="24">
      <c r="A24" s="32" t="inlineStr">
        <is>
          <t>Lokasi Bukti Awal</t>
        </is>
      </c>
      <c r="B24" s="34" t="inlineStr">
        <is>
          <t>- Script Pengujian Cypress: cypress/e2e/ts-04-kelola-listing.cy.js (TC-04-01)
- Log Eksekusi Cypress Task: brain/614d0694-2300-4f0c-8389-a4df584aedaf/.system_generated/tasks/task-111.log
- File Kode Terdampak: app/Http/Controllers/Seller/ListingController.php &amp; resources/views/seller/listings/create.blade.php</t>
        </is>
      </c>
      <c r="C24" s="31" t="n"/>
      <c r="D24" s="31" t="n"/>
      <c r="E24" s="31" t="n"/>
      <c r="F24" s="31" t="n"/>
      <c r="G24" s="31" t="n"/>
      <c r="H24" s="31" t="n"/>
    </row>
    <row r="26">
      <c r="A26" s="30" t="inlineStr">
        <is>
          <t>3. AKAR MASALAH (ROOT CAUSE) &amp; SOLUSI PERBAIKAN</t>
        </is>
      </c>
      <c r="B26" s="31" t="n"/>
      <c r="C26" s="31" t="n"/>
      <c r="D26" s="31" t="n"/>
      <c r="E26" s="31" t="n"/>
      <c r="F26" s="31" t="n"/>
      <c r="G26" s="31" t="n"/>
      <c r="H26" s="31" t="n"/>
    </row>
    <row r="27">
      <c r="A27" s="32" t="inlineStr">
        <is>
          <t>Akar Masalah (Root Cause)</t>
        </is>
      </c>
      <c r="B27" s="34" t="inlineStr">
        <is>
          <t>1. Lapisan Frontend (create.blade.php):
   - Ketiadaan variabel status isSubmitting saat form disubmit.
   - Tombol simpan tidak dinonaktifkan (disabled) saat permintaan jaringan sedang berjalan.
   - Event keydown (Enter) pada elemen input teks memicu submit bawaan browser berulang kali selama latensi jaringan.
2. Lapisan Backend (ListingController.php &amp; StoreListingRequest.php):
   - Ketiadaan idempotency token unik per instance formulir untuk mengenali request duplikat.
   - Ketiadaan concurrency lock atomik (Cache::lock) per seller dan payload hash untuk mencegah race condition pengiriman paralel.</t>
        </is>
      </c>
      <c r="C27" s="31" t="n"/>
      <c r="D27" s="31" t="n"/>
      <c r="E27" s="31" t="n"/>
      <c r="F27" s="31" t="n"/>
      <c r="G27" s="31" t="n"/>
      <c r="H27" s="31" t="n"/>
    </row>
    <row r="28">
      <c r="A28" s="32" t="inlineStr">
        <is>
          <t>File yang Diubah</t>
        </is>
      </c>
      <c r="B28" s="34" t="inlineStr">
        <is>
          <t>1. resources/views/seller/listings/create.blade.php:
   - Menambahkan input hidden submission_token bawaan UUID dari controller.
   - Mengimplementasikan guard isSubmitting dan penonaktifan tombol submit dengan indikator loading spinner.
   - Mencegah penekanan Enter berulang pada input saat sedang submisi, serta menjamin Enter pada &lt;textarea&gt; tetap membuat baris baru (newline).
   - Menambahkan event listener pageshow (persisted) untuk memulihkan form jika seller kembali via browser back button.
2. app/Http/Requests/Seller/StoreListingRequest.php:
   - Menambahkan aturan validasi nullable untuk field submission_token.
3. app/Http/Controllers/Seller/ListingController.php:
   - Method create(): Menyuntikkan Str::uuid() sebagai submissionToken ke view create.
   - Method store(): Memeriksa token submisi via Cache, mengunci proses secara atomik dengan Cache::lock() berbasis seller_id dan payload signature, sehingga request duplikat diarahkan kembali ke indeks dengan aman tanpa duplikasi record di database.
4. tests/Feature/SellerListingTest.php:
   - Menambahkan test feature backend untuk proteksi idempotensi token dan pembuatan listing berikutnya secara sengaja.
5. cypress/e2e/ts-04-kelola-listing.cy.js:
   - Memperluas regresi TC-04-01 (Enter berulang), TC-04-01-REG-01 (klik ganda tombol), TC-04-01-REG-02 (listing berikutnya), dan TC-04-04 (form recovery).</t>
        </is>
      </c>
      <c r="C28" s="31" t="n"/>
      <c r="D28" s="31" t="n"/>
      <c r="E28" s="31" t="n"/>
      <c r="F28" s="31" t="n"/>
      <c r="G28" s="31" t="n"/>
      <c r="H28" s="31" t="n"/>
    </row>
    <row r="30">
      <c r="A30" s="30" t="inlineStr">
        <is>
          <t>4. RIWAYAT RETEST &amp; VERIFIKASI (SESUDAH PERBAIKAN)</t>
        </is>
      </c>
      <c r="B30" s="31" t="n"/>
      <c r="C30" s="31" t="n"/>
      <c r="D30" s="31" t="n"/>
      <c r="E30" s="31" t="n"/>
      <c r="F30" s="31" t="n"/>
      <c r="G30" s="31" t="n"/>
      <c r="H30" s="31" t="n"/>
    </row>
    <row r="31">
      <c r="A31" s="32" t="inlineStr">
        <is>
          <t>Penguji &amp; Waktu Retest</t>
        </is>
      </c>
      <c r="B31" s="34" t="inlineStr">
        <is>
          <t>Penguji Otomatis MarketTrust (Antigravity QA)  •  16 Oktober 2026, 01:10 WIB</t>
        </is>
      </c>
      <c r="C31" s="31" t="n"/>
      <c r="D31" s="31" t="n"/>
      <c r="E31" s="31" t="n"/>
      <c r="F31" s="31" t="n"/>
      <c r="G31" s="31" t="n"/>
      <c r="H31" s="31" t="n"/>
    </row>
    <row r="32">
      <c r="A32" s="32" t="inlineStr">
        <is>
          <t>Commit / Build Perbaikan</t>
        </is>
      </c>
      <c r="B32" s="34" t="inlineStr">
        <is>
          <t>Branch: fix/listing-multiple-submit</t>
        </is>
      </c>
      <c r="C32" s="31" t="n"/>
      <c r="D32" s="31" t="n"/>
      <c r="E32" s="31" t="n"/>
      <c r="F32" s="31" t="n"/>
      <c r="G32" s="31" t="n"/>
      <c r="H32" s="31" t="n"/>
    </row>
    <row r="33">
      <c r="A33" s="32" t="inlineStr">
        <is>
          <t>Hasil Retest Dataset 1 (Enter Berulang 5x)</t>
        </is>
      </c>
      <c r="B33" s="34" t="inlineStr">
        <is>
          <t>PASS — Kursor difokuskan pada input #delivery_method, ditekan Enter 5 kali berturut-turut dengan network delay response 800ms:
- Tepat 1 record tersimpan di database PostgreSQL (Listing::where('title', ...)-&gt;count() === 1).
- Tepat 1 entri listing muncul di tabel UI panel seller.
- Tepat 1 entri listing tetap konsisten setelah browser reload (F5).</t>
        </is>
      </c>
      <c r="C33" s="31" t="n"/>
      <c r="D33" s="31" t="n"/>
      <c r="E33" s="31" t="n"/>
      <c r="F33" s="31" t="n"/>
      <c r="G33" s="31" t="n"/>
      <c r="H33" s="31" t="n"/>
    </row>
    <row r="34">
      <c r="A34" s="32" t="inlineStr">
        <is>
          <t>Hasil Retest Dataset 2 (Klik Tombol Simpan Berulang)</t>
        </is>
      </c>
      <c r="B34" s="34" t="inlineStr">
        <is>
          <t>PASS — Tombol simpan diklik ganda (dblclick) secara cepat pada TC-04-01-REG-01:
- Tombol simpan dinonaktifkan (disabled) secara instan dan menampilkan teks 'Menyimpan Penawaran...'.
- Tepat 1 record tersimpan di database dan tepat 1 entri tampil di tabel UI.</t>
        </is>
      </c>
      <c r="C34" s="31" t="n"/>
      <c r="D34" s="31" t="n"/>
      <c r="E34" s="31" t="n"/>
      <c r="F34" s="31" t="n"/>
      <c r="G34" s="31" t="n"/>
      <c r="H34" s="31" t="n"/>
    </row>
    <row r="35">
      <c r="A35" s="32" t="inlineStr">
        <is>
          <t>Hasil Retest Dataset 3 (Textarea Newline via Enter)</t>
        </is>
      </c>
      <c r="B35" s="34" t="inlineStr">
        <is>
          <t>PASS — Mengetik 'Spesifikasi Baris 1{enter}Spesifikasi Baris 2' pada textarea #description:
- Enter menghasilkan karakter baris baru (\n) secara sempurna tanpa men-submit formulir sebelum waktunya.</t>
        </is>
      </c>
      <c r="C35" s="31" t="n"/>
      <c r="D35" s="31" t="n"/>
      <c r="E35" s="31" t="n"/>
      <c r="F35" s="31" t="n"/>
      <c r="G35" s="31" t="n"/>
      <c r="H35" s="31" t="n"/>
    </row>
    <row r="36">
      <c r="A36" s="32" t="inlineStr">
        <is>
          <t>Hasil Retest Dataset 4 (Pembuatan Listing Kedua Sengaja)</t>
        </is>
      </c>
      <c r="B36" s="34" t="inlineStr">
        <is>
          <t>PASS — Penjual sengaja membuka kembali form create setelah listing pertama terbit (TC-04-01-REG-02):
- Form mendapatkan UUID token baru dan lock submisi sebelumnya telah dilepaskan.
- Listing kedua berhasil dipublikasikan dengan normal tanpa terblokir proteksi.</t>
        </is>
      </c>
      <c r="C36" s="31" t="n"/>
      <c r="D36" s="31" t="n"/>
      <c r="E36" s="31" t="n"/>
      <c r="F36" s="31" t="n"/>
      <c r="G36" s="31" t="n"/>
      <c r="H36" s="31" t="n"/>
    </row>
    <row r="37">
      <c r="A37" s="32" t="inlineStr">
        <is>
          <t>Hasil Retest Dataset 5 (Form Recovery Setelah Validasi Gagal)</t>
        </is>
      </c>
      <c r="B37" s="34" t="inlineStr">
        <is>
          <t>PASS — Form disubmit dalam kondisi kosong, ditolak oleh HTML5 validation (TC-04-04):
- Tombol simpan tidak terkunci permanen, data diperbaiki menjadi valid, lalu disubmit ulang dan berhasil tersimpan.</t>
        </is>
      </c>
      <c r="C37" s="31" t="n"/>
      <c r="D37" s="31" t="n"/>
      <c r="E37" s="31" t="n"/>
      <c r="F37" s="31" t="n"/>
      <c r="G37" s="31" t="n"/>
      <c r="H37" s="31" t="n"/>
    </row>
    <row r="38">
      <c r="A38" s="32" t="inlineStr">
        <is>
          <t>Hasil Retest Backend (PHPUnit)</t>
        </is>
      </c>
      <c r="B38" s="34" t="inlineStr">
        <is>
          <t>PASS — 16 dari 16 Feature Test pada SellerListingTest lulus 100% (mencakup test_duplicate_submission_with_same_token dan test_seller_can_create_subsequent_listing_intentionally).</t>
        </is>
      </c>
      <c r="C38" s="31" t="n"/>
      <c r="D38" s="31" t="n"/>
      <c r="E38" s="31" t="n"/>
      <c r="F38" s="31" t="n"/>
      <c r="G38" s="31" t="n"/>
      <c r="H38" s="31" t="n"/>
    </row>
    <row r="39">
      <c r="A39" s="32" t="inlineStr">
        <is>
          <t>Status Akhir Defect</t>
        </is>
      </c>
      <c r="B39" s="35" t="inlineStr">
        <is>
          <t>CLOSED / FIXED &amp; VERIFIED (Pass Rate: 100% — 7/7 Cypress Specs Pass, 165/165 PHPUnit Tests Pass)</t>
        </is>
      </c>
      <c r="C39" s="31" t="n"/>
      <c r="D39" s="31" t="n"/>
      <c r="E39" s="31" t="n"/>
      <c r="F39" s="31" t="n"/>
      <c r="G39" s="31" t="n"/>
      <c r="H39" s="31" t="n"/>
    </row>
    <row r="40">
      <c r="A40" s="32" t="inlineStr">
        <is>
          <t>Lokasi Bukti Sesudah Perbaikan</t>
        </is>
      </c>
      <c r="B40" s="34" t="inlineStr">
        <is>
          <t>- Laporan Retest Cypress E2E: cypress/e2e/ts-04-kelola-listing.cy.js (7 passing, 1m 3s)
- Laporan Feature Test PHPUnit: tests/Feature/SellerListingTest.php (16 passed, 61 assertions)
- Workbook Terkini: docs/testing/MarketTrust_Test_Case_35_Scenario_Executed.xlsx (Sheet 'Laporan Bug' &amp; 'TS-04 Kelola Listing')</t>
        </is>
      </c>
      <c r="C40" s="31" t="n"/>
      <c r="D40" s="31" t="n"/>
      <c r="E40" s="31" t="n"/>
      <c r="F40" s="31" t="n"/>
      <c r="G40" s="31" t="n"/>
      <c r="H40" s="31" t="n"/>
    </row>
  </sheetData>
  <mergeCells count="35">
    <mergeCell ref="A30:H30"/>
    <mergeCell ref="B40:H40"/>
    <mergeCell ref="B9:H9"/>
    <mergeCell ref="B6:H6"/>
    <mergeCell ref="B24:H24"/>
    <mergeCell ref="B33:H33"/>
    <mergeCell ref="B20:H20"/>
    <mergeCell ref="B37:H37"/>
    <mergeCell ref="B36:H36"/>
    <mergeCell ref="B32:H32"/>
    <mergeCell ref="B35:H35"/>
    <mergeCell ref="A16:H16"/>
    <mergeCell ref="B7:H7"/>
    <mergeCell ref="B31:H31"/>
    <mergeCell ref="B22:H22"/>
    <mergeCell ref="A3:H3"/>
    <mergeCell ref="A26:H26"/>
    <mergeCell ref="B18:H18"/>
    <mergeCell ref="B27:H27"/>
    <mergeCell ref="B21:H21"/>
    <mergeCell ref="A2:H2"/>
    <mergeCell ref="B12:H12"/>
    <mergeCell ref="B39:H39"/>
    <mergeCell ref="A5:H5"/>
    <mergeCell ref="B11:H11"/>
    <mergeCell ref="B23:H23"/>
    <mergeCell ref="B8:H8"/>
    <mergeCell ref="B14:H14"/>
    <mergeCell ref="B17:H17"/>
    <mergeCell ref="B13:H13"/>
    <mergeCell ref="B38:H38"/>
    <mergeCell ref="B10:H10"/>
    <mergeCell ref="B19:H19"/>
    <mergeCell ref="B34:H34"/>
    <mergeCell ref="B28:H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2026-10-15T18:12:07Z</dcterms:created>
  <dcterms:modified xsi:type="dcterms:W3CDTF">2026-10-15T18:12:08Z</dcterms:modified>
</cp:coreProperties>
</file>