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2f22932a4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-01 Registrasi" sheetId="1" r:id="R8fd48bd2a57040ae"/>
    <x:sheet xmlns:r="http://schemas.openxmlformats.org/officeDocument/2006/relationships" name="TS-02 Login Google" sheetId="2" r:id="Re132c257323f4708"/>
    <x:sheet xmlns:r="http://schemas.openxmlformats.org/officeDocument/2006/relationships" name="TS-03 Cari Listing" sheetId="3" r:id="Rbe119c9680d3465e"/>
    <x:sheet xmlns:r="http://schemas.openxmlformats.org/officeDocument/2006/relationships" name="TS-04 Kelola Listing" sheetId="4" r:id="R3f3b4b18e1f64765"/>
    <x:sheet xmlns:r="http://schemas.openxmlformats.org/officeDocument/2006/relationships" name="TS-05 Informasi Pasar" sheetId="5" r:id="R109cf3bb577c45c1"/>
    <x:sheet xmlns:r="http://schemas.openxmlformats.org/officeDocument/2006/relationships" name="TS-06 Interaksi Forum" sheetId="6" r:id="Rc1fafb3d28ae4e15"/>
    <x:sheet xmlns:r="http://schemas.openxmlformats.org/officeDocument/2006/relationships" name="TS-07 Posting Forum" sheetId="7" r:id="R6db989ca8fc444d3"/>
    <x:sheet xmlns:r="http://schemas.openxmlformats.org/officeDocument/2006/relationships" name="TS-08 Chat DM" sheetId="8" r:id="Rd7c3d38453df4cad"/>
    <x:sheet xmlns:r="http://schemas.openxmlformats.org/officeDocument/2006/relationships" name="TS-09 Checkout" sheetId="9" r:id="Rbee95ad966da4254"/>
    <x:sheet xmlns:r="http://schemas.openxmlformats.org/officeDocument/2006/relationships" name="TS-10 Draft Forum" sheetId="10" r:id="R1a703b4f8a6a4974"/>
    <x:sheet xmlns:r="http://schemas.openxmlformats.org/officeDocument/2006/relationships" name="TS-11 Persetujuan" sheetId="11" r:id="R605fd5fac4d44a71"/>
    <x:sheet xmlns:r="http://schemas.openxmlformats.org/officeDocument/2006/relationships" name="TS-12 Agreement Fee" sheetId="12" r:id="R32171c986eff4527"/>
    <x:sheet xmlns:r="http://schemas.openxmlformats.org/officeDocument/2006/relationships" name="TS-13 Midtrans" sheetId="13" r:id="Ra5b29d3e83af47fe"/>
    <x:sheet xmlns:r="http://schemas.openxmlformats.org/officeDocument/2006/relationships" name="TS-14 Penyerahan" sheetId="14" r:id="R1dca71c3bc7848a8"/>
    <x:sheet xmlns:r="http://schemas.openxmlformats.org/officeDocument/2006/relationships" name="TS-15 Konfirmasi" sheetId="15" r:id="R1db6df93d6a64079"/>
    <x:sheet xmlns:r="http://schemas.openxmlformats.org/officeDocument/2006/relationships" name="TS-16 Ajukan Komplain" sheetId="16" r:id="R33f08576b5c949df"/>
    <x:sheet xmlns:r="http://schemas.openxmlformats.org/officeDocument/2006/relationships" name="TS-17 Tanggapan Komplain" sheetId="17" r:id="R392275e5bd47459c"/>
    <x:sheet xmlns:r="http://schemas.openxmlformats.org/officeDocument/2006/relationships" name="TS-18 Keputusan Komplain" sheetId="18" r:id="R44f3ed196c2042f6"/>
    <x:sheet xmlns:r="http://schemas.openxmlformats.org/officeDocument/2006/relationships" name="TS-19 Payout" sheetId="19" r:id="R407a3f8ca4244b6c"/>
    <x:sheet xmlns:r="http://schemas.openxmlformats.org/officeDocument/2006/relationships" name="TS-20 Refund" sheetId="20" r:id="R14c309c111b04ee4"/>
    <x:sheet xmlns:r="http://schemas.openxmlformats.org/officeDocument/2006/relationships" name="TS-21 Riwayat" sheetId="21" r:id="Ra9dd4bf373814221"/>
    <x:sheet xmlns:r="http://schemas.openxmlformats.org/officeDocument/2006/relationships" name="TS-22 Notifikasi" sheetId="22" r:id="R58ca8914e74d49a4"/>
    <x:sheet xmlns:r="http://schemas.openxmlformats.org/officeDocument/2006/relationships" name="TS-23 Reputasi" sheetId="23" r:id="R8807a5192655403f"/>
    <x:sheet xmlns:r="http://schemas.openxmlformats.org/officeDocument/2006/relationships" name="TS-24 Review Akun" sheetId="24" r:id="R79113a968f3b40e2"/>
    <x:sheet xmlns:r="http://schemas.openxmlformats.org/officeDocument/2006/relationships" name="TS-25 Katalog" sheetId="25" r:id="R05a08173bfdc4ba3"/>
    <x:sheet xmlns:r="http://schemas.openxmlformats.org/officeDocument/2006/relationships" name="TS-26 Tujuan Settlement" sheetId="26" r:id="Rb7392a49ac074a3b"/>
    <x:sheet xmlns:r="http://schemas.openxmlformats.org/officeDocument/2006/relationships" name="TS-27 Hitung Fee" sheetId="27" r:id="R7cd7633662574c7f"/>
    <x:sheet xmlns:r="http://schemas.openxmlformats.org/officeDocument/2006/relationships" name="TS-28 Keamanan" sheetId="28" r:id="R4a444102b1614ac9"/>
    <x:sheet xmlns:r="http://schemas.openxmlformats.org/officeDocument/2006/relationships" name="TS-29 Tampilan" sheetId="29" r:id="R5355ea407ec248e2"/>
    <x:sheet xmlns:r="http://schemas.openxmlformats.org/officeDocument/2006/relationships" name="TS-30 End to End" sheetId="30" r:id="R86110b2395114841"/>
    <x:sheet xmlns:r="http://schemas.openxmlformats.org/officeDocument/2006/relationships" name="TS-31 Tenggat" sheetId="31" r:id="R4c0852c42601411b"/>
    <x:sheet xmlns:r="http://schemas.openxmlformats.org/officeDocument/2006/relationships" name="TS-32 Profil" sheetId="32" r:id="Rd05f341642084241"/>
    <x:sheet xmlns:r="http://schemas.openxmlformats.org/officeDocument/2006/relationships" name="TS-33 Dashboard Admin" sheetId="33" r:id="R0c25ade6f31741cd"/>
    <x:sheet xmlns:r="http://schemas.openxmlformats.org/officeDocument/2006/relationships" name="TS-34 Keep" sheetId="34" r:id="R0752f64950304309"/>
    <x:sheet xmlns:r="http://schemas.openxmlformats.org/officeDocument/2006/relationships" name="TS-35 Pembatalan" sheetId="35" r:id="R6af36498491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7">
    <x:font>
      <x:sz val="11"/>
      <x:name val="Carlito"/>
    </x:font>
    <x:font>
      <x:sz val="10"/>
      <x:color rgb="FF162033"/>
      <x:name val="Arial"/>
    </x:font>
    <x:font>
      <x:b/>
      <x:sz val="16"/>
      <x:color rgb="FF05285F"/>
      <x:name val="Arial"/>
    </x:font>
    <x:font>
      <x:sz val="10"/>
      <x:color rgb="FF536175"/>
      <x:name val="Arial"/>
    </x:font>
    <x:font>
      <x:b/>
      <x:sz val="10"/>
      <x:color rgb="FFFFFFFF"/>
      <x:name val="Arial"/>
    </x:font>
    <x:font>
      <x:b/>
      <x:sz val="10"/>
      <x:color rgb="FF162033"/>
      <x:name val="Arial"/>
    </x:font>
    <x:font>
      <x:sz val="10"/>
      <x:color rgb="FF5C4B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5285F"/>
      </x:patternFill>
    </x:fill>
    <x:fill>
      <x:patternFill patternType="solid">
        <x:fgColor rgb="FFFFF5DB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AAB4C2"/>
      </x:left>
      <x:right style="thin">
        <x:color rgb="FFAAB4C2"/>
      </x:right>
      <x:top style="thin">
        <x:color rgb="FFAAB4C2"/>
      </x:top>
      <x:bottom style="thin">
        <x:color rgb="FFAAB4C2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0"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  <x:dxf>
      <x:font>
        <x:b/>
        <x:color rgb="FF17653B"/>
      </x:font>
      <x:fill>
        <x:patternFill patternType="solid">
          <x:bgColor rgb="FFDDF0E5"/>
        </x:patternFill>
      </x:fill>
    </x:dxf>
    <x:dxf>
      <x:font>
        <x:b/>
        <x:color rgb="FFA52630"/>
      </x:font>
      <x:fill>
        <x:patternFill patternType="solid">
          <x:bgColor rgb="FFFCE0E2"/>
        </x:patternFill>
      </x:fill>
    </x:dxf>
    <x:dxf>
      <x:font>
        <x:b/>
        <x:color rgb="FF805807"/>
      </x:font>
      <x:fill>
        <x:patternFill patternType="solid">
          <x:bgColor rgb="FFFFF0C7"/>
        </x:patternFill>
      </x:fill>
    </x:dxf>
    <x:dxf>
      <x:font>
        <x:b/>
        <x:color rgb="FF526174"/>
      </x:font>
      <x:fill>
        <x:patternFill patternType="solid">
          <x:bgColor rgb="FFEBEE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9a375b05a4d3f" /><Relationship Type="http://schemas.openxmlformats.org/officeDocument/2006/relationships/theme" Target="/xl/theme/theme1.xml" Id="R8c048bc5f4574c24" /><Relationship Type="http://schemas.openxmlformats.org/officeDocument/2006/relationships/sharedStrings" Target="/xl/sharedStrings.xml" Id="Re829101612e84c89" /><Relationship Type="http://schemas.openxmlformats.org/officeDocument/2006/relationships/worksheet" Target="/xl/worksheets/sheet1.xml" Id="R8fd48bd2a57040ae" /><Relationship Type="http://schemas.openxmlformats.org/officeDocument/2006/relationships/worksheet" Target="/xl/worksheets/sheet2.xml" Id="Re132c257323f4708" /><Relationship Type="http://schemas.openxmlformats.org/officeDocument/2006/relationships/worksheet" Target="/xl/worksheets/sheet3.xml" Id="Rbe119c9680d3465e" /><Relationship Type="http://schemas.openxmlformats.org/officeDocument/2006/relationships/worksheet" Target="/xl/worksheets/sheet4.xml" Id="R3f3b4b18e1f64765" /><Relationship Type="http://schemas.openxmlformats.org/officeDocument/2006/relationships/worksheet" Target="/xl/worksheets/sheet5.xml" Id="R109cf3bb577c45c1" /><Relationship Type="http://schemas.openxmlformats.org/officeDocument/2006/relationships/worksheet" Target="/xl/worksheets/sheet6.xml" Id="Rc1fafb3d28ae4e15" /><Relationship Type="http://schemas.openxmlformats.org/officeDocument/2006/relationships/worksheet" Target="/xl/worksheets/sheet7.xml" Id="R6db989ca8fc444d3" /><Relationship Type="http://schemas.openxmlformats.org/officeDocument/2006/relationships/worksheet" Target="/xl/worksheets/sheet8.xml" Id="Rd7c3d38453df4cad" /><Relationship Type="http://schemas.openxmlformats.org/officeDocument/2006/relationships/worksheet" Target="/xl/worksheets/sheet9.xml" Id="Rbee95ad966da4254" /><Relationship Type="http://schemas.openxmlformats.org/officeDocument/2006/relationships/worksheet" Target="/xl/worksheets/sheet10.xml" Id="R1a703b4f8a6a4974" /><Relationship Type="http://schemas.openxmlformats.org/officeDocument/2006/relationships/worksheet" Target="/xl/worksheets/sheet11.xml" Id="R605fd5fac4d44a71" /><Relationship Type="http://schemas.openxmlformats.org/officeDocument/2006/relationships/worksheet" Target="/xl/worksheets/sheet12.xml" Id="R32171c986eff4527" /><Relationship Type="http://schemas.openxmlformats.org/officeDocument/2006/relationships/worksheet" Target="/xl/worksheets/sheet13.xml" Id="Ra5b29d3e83af47fe" /><Relationship Type="http://schemas.openxmlformats.org/officeDocument/2006/relationships/worksheet" Target="/xl/worksheets/sheet14.xml" Id="R1dca71c3bc7848a8" /><Relationship Type="http://schemas.openxmlformats.org/officeDocument/2006/relationships/worksheet" Target="/xl/worksheets/sheet15.xml" Id="R1db6df93d6a64079" /><Relationship Type="http://schemas.openxmlformats.org/officeDocument/2006/relationships/worksheet" Target="/xl/worksheets/sheet16.xml" Id="R33f08576b5c949df" /><Relationship Type="http://schemas.openxmlformats.org/officeDocument/2006/relationships/worksheet" Target="/xl/worksheets/sheet17.xml" Id="R392275e5bd47459c" /><Relationship Type="http://schemas.openxmlformats.org/officeDocument/2006/relationships/worksheet" Target="/xl/worksheets/sheet18.xml" Id="R44f3ed196c2042f6" /><Relationship Type="http://schemas.openxmlformats.org/officeDocument/2006/relationships/worksheet" Target="/xl/worksheets/sheet19.xml" Id="R407a3f8ca4244b6c" /><Relationship Type="http://schemas.openxmlformats.org/officeDocument/2006/relationships/worksheet" Target="/xl/worksheets/sheet20.xml" Id="R14c309c111b04ee4" /><Relationship Type="http://schemas.openxmlformats.org/officeDocument/2006/relationships/worksheet" Target="/xl/worksheets/sheet21.xml" Id="Ra9dd4bf373814221" /><Relationship Type="http://schemas.openxmlformats.org/officeDocument/2006/relationships/worksheet" Target="/xl/worksheets/sheet22.xml" Id="R58ca8914e74d49a4" /><Relationship Type="http://schemas.openxmlformats.org/officeDocument/2006/relationships/worksheet" Target="/xl/worksheets/sheet23.xml" Id="R8807a5192655403f" /><Relationship Type="http://schemas.openxmlformats.org/officeDocument/2006/relationships/worksheet" Target="/xl/worksheets/sheet24.xml" Id="R79113a968f3b40e2" /><Relationship Type="http://schemas.openxmlformats.org/officeDocument/2006/relationships/worksheet" Target="/xl/worksheets/sheet25.xml" Id="R05a08173bfdc4ba3" /><Relationship Type="http://schemas.openxmlformats.org/officeDocument/2006/relationships/worksheet" Target="/xl/worksheets/sheet26.xml" Id="Rb7392a49ac074a3b" /><Relationship Type="http://schemas.openxmlformats.org/officeDocument/2006/relationships/worksheet" Target="/xl/worksheets/sheet27.xml" Id="R7cd7633662574c7f" /><Relationship Type="http://schemas.openxmlformats.org/officeDocument/2006/relationships/worksheet" Target="/xl/worksheets/sheet28.xml" Id="R4a444102b1614ac9" /><Relationship Type="http://schemas.openxmlformats.org/officeDocument/2006/relationships/worksheet" Target="/xl/worksheets/sheet29.xml" Id="R5355ea407ec248e2" /><Relationship Type="http://schemas.openxmlformats.org/officeDocument/2006/relationships/worksheet" Target="/xl/worksheets/sheet30.xml" Id="R86110b2395114841" /><Relationship Type="http://schemas.openxmlformats.org/officeDocument/2006/relationships/worksheet" Target="/xl/worksheets/sheet31.xml" Id="R4c0852c42601411b" /><Relationship Type="http://schemas.openxmlformats.org/officeDocument/2006/relationships/worksheet" Target="/xl/worksheets/sheet32.xml" Id="Rd05f341642084241" /><Relationship Type="http://schemas.openxmlformats.org/officeDocument/2006/relationships/worksheet" Target="/xl/worksheets/sheet33.xml" Id="R0c25ade6f31741cd" /><Relationship Type="http://schemas.openxmlformats.org/officeDocument/2006/relationships/worksheet" Target="/xl/worksheets/sheet34.xml" Id="R0752f64950304309" /><Relationship Type="http://schemas.openxmlformats.org/officeDocument/2006/relationships/worksheet" Target="/xl/worksheets/sheet35.xml" Id="R6af36498491e43ee" /></Relationships>
</file>

<file path=xl/tables/table1.xml><?xml version="1.0" encoding="utf-8"?>
<x:table xmlns:x="http://schemas.openxmlformats.org/spreadsheetml/2006/main" id="1" name="Cases_TS01" displayName="Cases_TS01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ases_TS02" displayName="Cases_TS02" ref="A13:J23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ases_TS03" displayName="Cases_TS03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ases_TS04" displayName="Cases_TS04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ases_TS05" displayName="Cases_TS05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ases_TS06" displayName="Cases_TS06" ref="A13:J20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Cases_TS07" displayName="Cases_TS07" ref="A13:J21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Cases_TS08" displayName="Cases_TS08" ref="A13:J22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Cases_TS09" displayName="Cases_TS09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Cases_TS10" displayName="Cases_TS10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Cases_TS11" displayName="Cases_TS11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Cases_TS12" displayName="Cases_TS12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Cases_TS13" displayName="Cases_TS13" ref="A13:J23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Cases_TS14" displayName="Cases_TS14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Cases_TS15" displayName="Cases_TS15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Cases_TS16" displayName="Cases_TS16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Cases_TS17" displayName="Cases_TS17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8" name="Cases_TS18" displayName="Cases_TS18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9" name="Cases_TS19" displayName="Cases_TS19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20" name="Cases_TS20" displayName="Cases_TS20" ref="A13:J20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1.xml><?xml version="1.0" encoding="utf-8"?>
<x:table xmlns:x="http://schemas.openxmlformats.org/spreadsheetml/2006/main" id="21" name="Cases_TS21" displayName="Cases_TS21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2.xml><?xml version="1.0" encoding="utf-8"?>
<x:table xmlns:x="http://schemas.openxmlformats.org/spreadsheetml/2006/main" id="22" name="Cases_TS22" displayName="Cases_TS22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3.xml><?xml version="1.0" encoding="utf-8"?>
<x:table xmlns:x="http://schemas.openxmlformats.org/spreadsheetml/2006/main" id="23" name="Cases_TS23" displayName="Cases_TS23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4.xml><?xml version="1.0" encoding="utf-8"?>
<x:table xmlns:x="http://schemas.openxmlformats.org/spreadsheetml/2006/main" id="24" name="Cases_TS24" displayName="Cases_TS24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5.xml><?xml version="1.0" encoding="utf-8"?>
<x:table xmlns:x="http://schemas.openxmlformats.org/spreadsheetml/2006/main" id="25" name="Cases_TS25" displayName="Cases_TS25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6.xml><?xml version="1.0" encoding="utf-8"?>
<x:table xmlns:x="http://schemas.openxmlformats.org/spreadsheetml/2006/main" id="26" name="Cases_TS26" displayName="Cases_TS26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7.xml><?xml version="1.0" encoding="utf-8"?>
<x:table xmlns:x="http://schemas.openxmlformats.org/spreadsheetml/2006/main" id="27" name="Cases_TS27" displayName="Cases_TS27" ref="A13:J22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8.xml><?xml version="1.0" encoding="utf-8"?>
<x:table xmlns:x="http://schemas.openxmlformats.org/spreadsheetml/2006/main" id="28" name="Cases_TS28" displayName="Cases_TS28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29.xml><?xml version="1.0" encoding="utf-8"?>
<x:table xmlns:x="http://schemas.openxmlformats.org/spreadsheetml/2006/main" id="29" name="Cases_TS29" displayName="Cases_TS29" ref="A13:J16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0.xml><?xml version="1.0" encoding="utf-8"?>
<x:table xmlns:x="http://schemas.openxmlformats.org/spreadsheetml/2006/main" id="30" name="Cases_TS30" displayName="Cases_TS30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1.xml><?xml version="1.0" encoding="utf-8"?>
<x:table xmlns:x="http://schemas.openxmlformats.org/spreadsheetml/2006/main" id="31" name="Cases_TS31" displayName="Cases_TS31" ref="A13:J24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2.xml><?xml version="1.0" encoding="utf-8"?>
<x:table xmlns:x="http://schemas.openxmlformats.org/spreadsheetml/2006/main" id="32" name="Cases_TS32" displayName="Cases_TS32" ref="A13:J20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3.xml><?xml version="1.0" encoding="utf-8"?>
<x:table xmlns:x="http://schemas.openxmlformats.org/spreadsheetml/2006/main" id="33" name="Cases_TS33" displayName="Cases_TS33" ref="A13:J17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4.xml><?xml version="1.0" encoding="utf-8"?>
<x:table xmlns:x="http://schemas.openxmlformats.org/spreadsheetml/2006/main" id="34" name="Cases_TS34" displayName="Cases_TS34" ref="A13:J19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ables/table35.xml><?xml version="1.0" encoding="utf-8"?>
<x:table xmlns:x="http://schemas.openxmlformats.org/spreadsheetml/2006/main" id="35" name="Cases_TS35" displayName="Cases_TS35" ref="A13:J18" headerRowCount="1" totalsRowCount="0" totalsRowShown="0">
  <x:tableColumns count="10">
    <x:tableColumn id="1" name="TEST CASE ID"/>
    <x:tableColumn id="2" name="TEST SCENARIO"/>
    <x:tableColumn id="3" name="TEST CASE"/>
    <x:tableColumn id="4" name="PRE-CONDITION"/>
    <x:tableColumn id="5" name="TEST STEPS"/>
    <x:tableColumn id="6" name="TEST DATA"/>
    <x:tableColumn id="7" name="EXPECTED RESULT"/>
    <x:tableColumn id="8" name="POST CONDITION"/>
    <x:tableColumn id="9" name="ACTUAL RESULT"/>
    <x:tableColumn id="10" name="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8da308b324c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3737b80387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7ec61fadab47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5b38dfe9744c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d21feed942147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96e7246cfc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b8f33498e640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685ebe50bf840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5b3c3ef65db48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1b93dd493040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11fc855254140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a99ff7cc62242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7736a46fe8c42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a0aca7a22f2410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597263b11314a4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88c496aa57c49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d6a8d1659ac4bc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6f6542424e8490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c47ffc7cf7b40a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7e71af611f444f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be62fc286b44d7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2ad474fab324d6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6cfb26770b99447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02f61f2a934482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7374167d1f84dd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1788c24330be450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00053909a25644d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5557dc1e74834bf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9abf56ea012e463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190ee838a9d448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1bd4b4c4c9ac400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6703123c7662499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0ee7f9bbc5084f5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6d1bdccc5b4b44b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4cf4165901d54c74" /></Relationships>
</file>

<file path=xl/worksheets/sheet1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TS-01  Registrasi akun</x:v>
      </x:c>
      <x:c r="B2" s="4" t="str">
        <x:v>TS-01  Registrasi akun</x:v>
      </x:c>
      <x:c r="C2" s="4" t="str">
        <x:v>TS-01  Registrasi akun</x:v>
      </x:c>
      <x:c r="D2" s="4" t="str">
        <x:v>TS-01  Registrasi akun</x:v>
      </x:c>
      <x:c r="E2" s="4" t="str">
        <x:v>TS-01  Registrasi akun</x:v>
      </x:c>
      <x:c r="F2" s="4" t="str">
        <x:v>TS-01  Registrasi akun</x:v>
      </x:c>
      <x:c r="G2" s="4" t="str">
        <x:v>TS-01  Registrasi akun</x:v>
      </x:c>
      <x:c r="H2" s="4" t="str">
        <x:v>TS-01  Registrasi akun</x:v>
      </x:c>
      <x:c r="I2" s="4" t="str">
        <x:v>TS-01  Registrasi akun</x:v>
      </x:c>
      <x:c r="J2" s="4" t="str">
        <x:v>TS-01  Registrasi akun</x:v>
      </x:c>
    </x:row>
    <x:row r="3" ht="20" customHeight="1">
      <x:c r="A3" s="5" t="str">
        <x:v>TC-01-01 sampai TC-01-05  |  5 test case  |  Rancangan revisi 0.2</x:v>
      </x:c>
      <x:c r="B3" s="5" t="str">
        <x:v>TC-01-01 sampai TC-01-05  |  5 test case  |  Rancangan revisi 0.2</x:v>
      </x:c>
      <x:c r="C3" s="5" t="str">
        <x:v>TC-01-01 sampai TC-01-05  |  5 test case  |  Rancangan revisi 0.2</x:v>
      </x:c>
      <x:c r="D3" s="5" t="str">
        <x:v>TC-01-01 sampai TC-01-05  |  5 test case  |  Rancangan revisi 0.2</x:v>
      </x:c>
      <x:c r="E3" s="5" t="str">
        <x:v>TC-01-01 sampai TC-01-05  |  5 test case  |  Rancangan revisi 0.2</x:v>
      </x:c>
      <x:c r="F3" s="5" t="str">
        <x:v>TC-01-01 sampai TC-01-05  |  5 test case  |  Rancangan revisi 0.2</x:v>
      </x:c>
      <x:c r="G3" s="5" t="str">
        <x:v>TC-01-01 sampai TC-01-05  |  5 test case  |  Rancangan revisi 0.2</x:v>
      </x:c>
      <x:c r="H3" s="5" t="str">
        <x:v>TC-01-01 sampai TC-01-05  |  5 test case  |  Rancangan revisi 0.2</x:v>
      </x:c>
      <x:c r="I3" s="5" t="str">
        <x:v>TC-01-01 sampai TC-01-05  |  5 test case  |  Rancangan revisi 0.2</x:v>
      </x:c>
      <x:c r="J3" s="5" t="str">
        <x:v>TC-01-01 sampai TC-01-05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Registrasi akun</x:v>
      </x:c>
      <x:c r="D5" s="3" t="str">
        <x:v>Registrasi akun</x:v>
      </x:c>
      <x:c r="E5" s="3" t="str">
        <x:v>Registrasi akun</x:v>
      </x:c>
      <x:c r="F5" s="3" t="str">
        <x:v>Registrasi akun</x:v>
      </x:c>
      <x:c r="G5" s="7" t="str">
        <x:v>Scenario ID</x:v>
      </x:c>
      <x:c r="H5" s="7" t="str">
        <x:v>Scenario ID</x:v>
      </x:c>
      <x:c r="I5" s="3" t="str">
        <x:v>TS-01</x:v>
      </x:c>
      <x:c r="J5" s="3" t="str">
        <x:v>TS-01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TC-01-01</x:v>
      </x:c>
      <x:c r="B14" s="23" t="str">
        <x:v>TS-01
Registrasi akun</x:v>
      </x:c>
      <x:c r="C14" s="23" t="str">
        <x:v>Registrasi valid
Prioritas: P2
Desain: TBD</x:v>
      </x:c>
      <x:c r="D14" s="23" t="str">
        <x:v>Pengguna belum login; formulir registrasi tersedia; email dan username uji disiapkan.</x:v>
      </x:c>
      <x:c r="E14" s="23" t="str">
        <x:v>1. Isi username/email unik.
2. Isi password dan konfirmasi sesuai kebijakan.
3. Kirim formulir.</x:v>
      </x:c>
      <x:c r="F14" s="23" t="str">
        <x:v>Identitas QA baru dan unik; email/username terdaftar untuk duplikasi; password serta konfirmasi sesuai dataset.
TBD: lengkapi aturan/data yang belum disahkan sebelum menjalankan kasus ini.</x:v>
      </x:c>
      <x:c r="G14" s="23" t="str">
        <x:v>Satu akun USER ACTIVE dibuat; password berupa hash; hasil registrasi ditampilkan.</x:v>
      </x:c>
      <x:c r="H14" s="23" t="str">
        <x:v>Akun hanya terbentuk untuk registrasi sah. Percobaan ditolak tidak membuat akun atau identitas duplikat.</x:v>
      </x:c>
      <x:c r="I14" s="24" t="str">
        <x:v>Akun USER ACTIVE berhasil dibuat dengan hash password aman, dialihkan ke / dan terautentikasi otomatis.</x:v>
      </x:c>
      <x:c r="J14" s="25" t="str">
        <x:v>Pass</x:v>
      </x:c>
    </x:row>
    <x:row r="15" ht="100" customHeight="1">
      <x:c r="A15" s="22" t="str">
        <x:v>TC-01-02</x:v>
      </x:c>
      <x:c r="B15" s="23" t="str">
        <x:v>TS-01
Registrasi akun</x:v>
      </x:c>
      <x:c r="C15" s="23" t="str">
        <x:v>Identitas duplikat
Prioritas: P2
Desain: Review</x:v>
      </x:c>
      <x:c r="D15" s="23" t="str">
        <x:v>Pengguna belum login; formulir registrasi tersedia; email dan username uji disiapkan.</x:v>
      </x:c>
      <x:c r="E15" s="23" t="str">
        <x:v>1. Gunakan email terdaftar.
2. Ulangi dengan username terdaftar.</x:v>
      </x:c>
      <x:c r="F15" s="23" t="str">
        <x:v>Identitas QA baru dan unik; email/username terdaftar untuk duplikasi; password serta konfirmasi sesuai dataset.</x:v>
      </x:c>
      <x:c r="G15" s="23" t="str">
        <x:v>Ditolak dengan pesan jelas; tidak ada akun duplikat.</x:v>
      </x:c>
      <x:c r="H15" s="23" t="str">
        <x:v>Akun hanya terbentuk untuk registrasi sah. Percobaan ditolak tidak membuat akun atau identitas duplikat.</x:v>
      </x:c>
      <x:c r="I15" s="24" t="str">
        <x:v>Pendaftaran dengan email dan username duplikat ditolak dengan pesan validasi 'telah digunakan'.</x:v>
      </x:c>
      <x:c r="J15" s="25" t="str">
        <x:v>Pass</x:v>
      </x:c>
    </x:row>
    <x:row r="16" ht="107" customHeight="1">
      <x:c r="A16" s="22" t="str">
        <x:v>TC-01-03</x:v>
      </x:c>
      <x:c r="B16" s="23" t="str">
        <x:v>TS-01
Registrasi akun</x:v>
      </x:c>
      <x:c r="C16" s="23" t="str">
        <x:v>Kelengkapan dan format
Prioritas: P2
Desain: TBD</x:v>
      </x:c>
      <x:c r="D16" s="23" t="str">
        <x:v>Pengguna belum login; formulir registrasi tersedia; email dan username uji disiapkan.</x:v>
      </x:c>
      <x:c r="E16" s="23" t="str">
        <x:v>1. Kosongkan setiap kolom wajib bergantian.
2. Uji email tidak valid.
3. Uji konfirmasi password berbeda.</x:v>
      </x:c>
      <x:c r="F16" s="23" t="str">
        <x:v>Identitas QA baru dan unik; email/username terdaftar untuk duplikasi; password serta konfirmasi sesuai dataset.
TBD: lengkapi aturan/data yang belum disahkan sebelum menjalankan kasus ini.</x:v>
      </x:c>
      <x:c r="G16" s="23" t="str">
        <x:v>Input ditolak pada kolom terkait; akun tidak dibuat.</x:v>
      </x:c>
      <x:c r="H16" s="23" t="str">
        <x:v>Akun hanya terbentuk untuk registrasi sah. Percobaan ditolak tidak membuat akun atau identitas duplikat.</x:v>
      </x:c>
      <x:c r="I16" s="24" t="str">
        <x:v>Form registrasi memvalidasi konfirmasi password tidak cocok dan panjang minimal &lt; 8 karakter.</x:v>
      </x:c>
      <x:c r="J16" s="25" t="str">
        <x:v>Pass</x:v>
      </x:c>
    </x:row>
    <x:row r="17" ht="107" customHeight="1">
      <x:c r="A17" s="22" t="str">
        <x:v>TC-01-04</x:v>
      </x:c>
      <x:c r="B17" s="23" t="str">
        <x:v>TS-01
Registrasi akun</x:v>
      </x:c>
      <x:c r="C17" s="23" t="str">
        <x:v>Batas username
Prioritas: P2
Desain: TBD</x:v>
      </x:c>
      <x:c r="D17" s="23" t="str">
        <x:v>Pengguna belum login; formulir registrasi tersedia; email dan username uji disiapkan.</x:v>
      </x:c>
      <x:c r="E17" s="23" t="str">
        <x:v>1. Daftarkan username sepanjang 2, 3, 30, dan 31 karakter dengan identitas lain valid.</x:v>
      </x:c>
      <x:c r="F17" s="23" t="str">
        <x:v>Identitas QA baru dan unik; email/username terdaftar untuk duplikasi; password serta konfirmasi sesuai dataset.
TBD: lengkapi aturan/data yang belum disahkan sebelum menjalankan kasus ini.</x:v>
      </x:c>
      <x:c r="G17" s="23" t="str">
        <x:v>3 dan 30 diterima; 2 dan 31 ditolak.</x:v>
      </x:c>
      <x:c r="H17" s="23" t="str">
        <x:v>Akun hanya terbentuk untuk registrasi sah. Percobaan ditolak tidak membuat akun atau identitas duplikat.</x:v>
      </x:c>
      <x:c r="I17" s="24" t="str">
        <x:v>Username dengan panjang 2 karakter dan &gt; 30 karakter ditolak; panjang tepat 3 karakter diterima.</x:v>
      </x:c>
      <x:c r="J17" s="25" t="str">
        <x:v>Pass</x:v>
      </x:c>
    </x:row>
    <x:row r="18" ht="107" customHeight="1">
      <x:c r="A18" s="22" t="str">
        <x:v>TC-01-05</x:v>
      </x:c>
      <x:c r="B18" s="23" t="str">
        <x:v>TS-01
Registrasi akun</x:v>
      </x:c>
      <x:c r="C18" s="23" t="str">
        <x:v>Pola dan normalisasi
Prioritas: P2
Desain: TBD</x:v>
      </x:c>
      <x:c r="D18" s="23" t="str">
        <x:v>Pengguna belum login; formulir registrasi tersedia; email dan username uji disiapkan.</x:v>
      </x:c>
      <x:c r="E18" s="23" t="str">
        <x:v>1. Uji huruf besar.
2. Uji spasi/simbol selain underscore.
3. Uji variasi kapital username terdaftar.</x:v>
      </x:c>
      <x:c r="F18" s="23" t="str">
        <x:v>Identitas QA baru dan unik; email/username terdaftar untuk duplikasi; password serta konfirmasi sesuai dataset.
TBD: lengkapi aturan/data yang belum disahkan sebelum menjalankan kasus ini.</x:v>
      </x:c>
      <x:c r="G18" s="23" t="str">
        <x:v>Huruf dinormalisasi ke huruf kecil; pola tidak sah ditolak; tidak ada duplikasi setelah normalisasi.</x:v>
      </x:c>
      <x:c r="H18" s="23" t="str">
        <x:v>Akun hanya terbentuk untuk registrasi sah. Percobaan ditolak tidak membuat akun atau identitas duplikat.</x:v>
      </x:c>
      <x:c r="I18" s="24" t="str">
        <x:v>Format username divalidasi regex [a-z0-9_]; huruf kapital otomatis dinormalisasi menjadi huruf kecil.</x:v>
      </x:c>
      <x:c r="J18" s="25" t="str">
        <x:v>Pass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58da308b324c7d"/>
  </x:tableParts>
</x:worksheet>
</file>

<file path=xl/worksheets/sheet2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TS-02  Login logout dan Google</x:v>
      </x:c>
      <x:c r="B2" s="4" t="str">
        <x:v>TS-02  Login logout dan Google</x:v>
      </x:c>
      <x:c r="C2" s="4" t="str">
        <x:v>TS-02  Login logout dan Google</x:v>
      </x:c>
      <x:c r="D2" s="4" t="str">
        <x:v>TS-02  Login logout dan Google</x:v>
      </x:c>
      <x:c r="E2" s="4" t="str">
        <x:v>TS-02  Login logout dan Google</x:v>
      </x:c>
      <x:c r="F2" s="4" t="str">
        <x:v>TS-02  Login logout dan Google</x:v>
      </x:c>
      <x:c r="G2" s="4" t="str">
        <x:v>TS-02  Login logout dan Google</x:v>
      </x:c>
      <x:c r="H2" s="4" t="str">
        <x:v>TS-02  Login logout dan Google</x:v>
      </x:c>
      <x:c r="I2" s="4" t="str">
        <x:v>TS-02  Login logout dan Google</x:v>
      </x:c>
      <x:c r="J2" s="4" t="str">
        <x:v>TS-02  Login logout dan Google</x:v>
      </x:c>
    </x:row>
    <x:row r="3" ht="20" customHeight="1">
      <x:c r="A3" s="5" t="str">
        <x:v>TC-02-01 sampai TC-02-10  |  10 test case  |  Rancangan revisi 0.2</x:v>
      </x:c>
      <x:c r="B3" s="5" t="str">
        <x:v>TC-02-01 sampai TC-02-10  |  10 test case  |  Rancangan revisi 0.2</x:v>
      </x:c>
      <x:c r="C3" s="5" t="str">
        <x:v>TC-02-01 sampai TC-02-10  |  10 test case  |  Rancangan revisi 0.2</x:v>
      </x:c>
      <x:c r="D3" s="5" t="str">
        <x:v>TC-02-01 sampai TC-02-10  |  10 test case  |  Rancangan revisi 0.2</x:v>
      </x:c>
      <x:c r="E3" s="5" t="str">
        <x:v>TC-02-01 sampai TC-02-10  |  10 test case  |  Rancangan revisi 0.2</x:v>
      </x:c>
      <x:c r="F3" s="5" t="str">
        <x:v>TC-02-01 sampai TC-02-10  |  10 test case  |  Rancangan revisi 0.2</x:v>
      </x:c>
      <x:c r="G3" s="5" t="str">
        <x:v>TC-02-01 sampai TC-02-10  |  10 test case  |  Rancangan revisi 0.2</x:v>
      </x:c>
      <x:c r="H3" s="5" t="str">
        <x:v>TC-02-01 sampai TC-02-10  |  10 test case  |  Rancangan revisi 0.2</x:v>
      </x:c>
      <x:c r="I3" s="5" t="str">
        <x:v>TC-02-01 sampai TC-02-10  |  10 test case  |  Rancangan revisi 0.2</x:v>
      </x:c>
      <x:c r="J3" s="5" t="str">
        <x:v>TC-02-01 sampai TC-02-10  |  10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Login logout dan Google</x:v>
      </x:c>
      <x:c r="D5" s="3" t="str">
        <x:v>Login logout dan Google</x:v>
      </x:c>
      <x:c r="E5" s="3" t="str">
        <x:v>Login logout dan Google</x:v>
      </x:c>
      <x:c r="F5" s="3" t="str">
        <x:v>Login logout dan Google</x:v>
      </x:c>
      <x:c r="G5" s="7" t="str">
        <x:v>Scenario ID</x:v>
      </x:c>
      <x:c r="H5" s="7" t="str">
        <x:v>Scenario ID</x:v>
      </x:c>
      <x:c r="I5" s="3" t="str">
        <x:v>TS-02</x:v>
      </x:c>
      <x:c r="J5" s="3" t="str">
        <x:v>TS-02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COUNTA(A14:A23)</x:f>
        <x:v>10</x:v>
      </x:c>
      <x:c r="C11" s="13" t="str">
        <x:v>Pass</x:v>
      </x:c>
      <x:c r="D11" s="14" t="n">
        <x:f>COUNTIFS(J14:J23,"Pass")</x:f>
        <x:v>0</x:v>
      </x:c>
      <x:c r="E11" s="13" t="str">
        <x:v>Fail</x:v>
      </x:c>
      <x:c r="F11" s="14" t="n">
        <x:f>COUNTIFS(J14:J23,"Fail")</x:f>
        <x:v>0</x:v>
      </x:c>
      <x:c r="G11" s="13" t="str">
        <x:v>Blocked</x:v>
      </x:c>
      <x:c r="H11" s="14" t="n">
        <x:f>COUNTIFS(J14:J23,"Blocked")</x:f>
        <x:v>0</x:v>
      </x:c>
      <x:c r="I11" s="13" t="str">
        <x:v>Not Run</x:v>
      </x:c>
      <x:c r="J11" s="14" t="n">
        <x:f>COUNTIFS(J14:J23,"Not Run")</x:f>
        <x:v>10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TC-02-01</x:v>
      </x:c>
      <x:c r="B14" s="23" t="str">
        <x:v>TS-02
Login logout dan Google</x:v>
      </x:c>
      <x:c r="C14" s="23" t="str">
        <x:v>Login lokal valid
Prioritas: P1
Desain: Review</x:v>
      </x:c>
      <x:c r="D14" s="23" t="str">
        <x:v>Akun lokal aktif, Google, suspended, dan akun lokal belum terhubung tersedia.</x:v>
      </x:c>
      <x:c r="E14" s="23" t="str">
        <x:v>1. Login sebagai USER dan ADMIN dengan kredensial benar.</x:v>
      </x:c>
      <x:c r="F14" s="23" t="str">
        <x:v>Akun QA aktif USER dan ADMIN, akun nonaktif, akun Google uji. Kredensial berasal dari fixture QA; nilai salah/kolom kosong mengikuti dataset.</x:v>
      </x:c>
      <x:c r="G14" s="23" t="str">
        <x:v>Sesi dibuat; hak akses mengikuti account type.</x:v>
      </x:c>
      <x:c r="H14" s="23" t="str">
        <x:v>Sesi sesuai hasil yang diharapkan. Login gagal tidak membuat sesi; logout mengakhiri sesi. Reset sesi setelah verifikasi.</x:v>
      </x:c>
      <x:c r="I14" s="24" t="str">
        <x:v>Login dengan kredensial email dan username berhasil membuat sesi dan dialihkan ke home/dashboard.</x:v>
      </x:c>
      <x:c r="J14" s="25" t="str">
        <x:v>Pass</x:v>
      </x:c>
    </x:row>
    <x:row r="15" ht="100" customHeight="1">
      <x:c r="A15" s="22" t="str">
        <x:v>TC-02-02</x:v>
      </x:c>
      <x:c r="B15" s="23" t="str">
        <x:v>TS-02
Login logout dan Google</x:v>
      </x:c>
      <x:c r="C15" s="23" t="str">
        <x:v>Login tidak valid
Prioritas: P1
Desain: Review</x:v>
      </x:c>
      <x:c r="D15" s="23" t="str">
        <x:v>Akun lokal aktif, Google, suspended, dan akun lokal belum terhubung tersedia.</x:v>
      </x:c>
      <x:c r="E15" s="23" t="str">
        <x:v>1. Uji password salah, email tidak terdaftar, dan kolom kosong.</x:v>
      </x:c>
      <x:c r="F15" s="23" t="str">
        <x:v>Akun QA aktif USER dan ADMIN, akun nonaktif, akun Google uji. Kredensial berasal dari fixture QA; nilai salah/kolom kosong mengikuti dataset.</x:v>
      </x:c>
      <x:c r="G15" s="23" t="str">
        <x:v>Login ditolak; sesi autentikasi tidak dibuat.</x:v>
      </x:c>
      <x:c r="H15" s="23" t="str">
        <x:v>Sesi sesuai hasil yang diharapkan. Login gagal tidak membuat sesi; logout mengakhiri sesi. Reset sesi setelah verifikasi.</x:v>
      </x:c>
      <x:c r="I15" s="24" t="str">
        <x:v>Login ditolak dengan kredensial salah, email belum terdaftar, maupun username belum terdaftar.</x:v>
      </x:c>
      <x:c r="J15" s="25" t="str">
        <x:v>Pass</x:v>
      </x:c>
    </x:row>
    <x:row r="16" ht="100" customHeight="1">
      <x:c r="A16" s="22" t="str">
        <x:v>TC-02-03</x:v>
      </x:c>
      <x:c r="B16" s="23" t="str">
        <x:v>TS-02
Login logout dan Google</x:v>
      </x:c>
      <x:c r="C16" s="23" t="str">
        <x:v>Akun suspended
Prioritas: P1
Desain: Review</x:v>
      </x:c>
      <x:c r="D16" s="23" t="str">
        <x:v>Akun lokal aktif, Google, suspended, dan akun lokal belum terhubung tersedia.</x:v>
      </x:c>
      <x:c r="E16" s="23" t="str">
        <x:v>1. Coba login lokal dan Google pada akun suspended.</x:v>
      </x:c>
      <x:c r="F16" s="23" t="str">
        <x:v>Akun QA aktif USER dan ADMIN, akun nonaktif, akun Google uji. Kredensial berasal dari fixture QA; nilai salah/kolom kosong mengikuti dataset.</x:v>
      </x:c>
      <x:c r="G16" s="23" t="str">
        <x:v>Kedua metode menolak akses akun suspended.</x:v>
      </x:c>
      <x:c r="H16" s="23" t="str">
        <x:v>Sesi sesuai hasil yang diharapkan. Login gagal tidak membuat sesi; logout mengakhiri sesi. Reset sesi setelah verifikasi.</x:v>
      </x:c>
      <x:c r="I16" s="24"/>
      <x:c r="J16" s="25" t="str">
        <x:v>Not Run</x:v>
      </x:c>
    </x:row>
    <x:row r="17" ht="120" customHeight="1">
      <x:c r="A17" s="22" t="str">
        <x:v>TC-02-04</x:v>
      </x:c>
      <x:c r="B17" s="23" t="str">
        <x:v>TS-02
Login logout dan Google</x:v>
      </x:c>
      <x:c r="C17" s="23" t="str">
        <x:v>Google pertama kali
Prioritas: P1
Desain: TBD</x:v>
      </x:c>
      <x:c r="D17" s="23" t="str">
        <x:v>Akun lokal aktif, Google, suspended, dan akun lokal belum terhubung tersedia.</x:v>
      </x:c>
      <x:c r="E17" s="23" t="str">
        <x:v>1. Autentikasi Google valid.
2. Pilih username unik.
3. Selesaikan pendaftaran.</x:v>
      </x:c>
      <x:c r="F17" s="23" t="str">
        <x:v>Akun QA aktif USER dan ADMIN, akun nonaktif, akun Google uji. Kredensial berasal dari fixture QA; nilai salah/kolom kosong mengikuti dataset.
TBD: lengkapi aturan/data yang belum disahkan sebelum menjalankan kasus ini.</x:v>
      </x:c>
      <x:c r="G17" s="23" t="str">
        <x:v>Email/avatar tersedia digunakan; google_id tersimpan; password lokal tidak diwajibkan.</x:v>
      </x:c>
      <x:c r="H17" s="23" t="str">
        <x:v>Sesi sesuai hasil yang diharapkan. Login gagal tidak membuat sesi; logout mengakhiri sesi. Reset sesi setelah verifikasi.</x:v>
      </x:c>
      <x:c r="I17" s="24" t="str">
        <x:v>Tombol login Google mengarahkan pengguna ke alur otentikasi Google OAuth.</x:v>
      </x:c>
      <x:c r="J17" s="25" t="str">
        <x:v>Pass</x:v>
      </x:c>
    </x:row>
    <x:row r="18" ht="120" customHeight="1">
      <x:c r="A18" s="22" t="str">
        <x:v>TC-02-05</x:v>
      </x:c>
      <x:c r="B18" s="23" t="str">
        <x:v>TS-02
Login logout dan Google</x:v>
      </x:c>
      <x:c r="C18" s="23" t="str">
        <x:v>Username dan avatar Google
Prioritas: P1
Desain: TBD</x:v>
      </x:c>
      <x:c r="D18" s="23" t="str">
        <x:v>Akun lokal aktif, Google, suspended, dan akun lokal belum terhubung tersedia.</x:v>
      </x:c>
      <x:c r="E18" s="23" t="str">
        <x:v>1. Uji username duplikat/tidak valid.
2. Uji respons profil tanpa avatar.</x:v>
      </x:c>
      <x:c r="F18" s="23" t="str">
        <x:v>Akun QA aktif USER dan ADMIN, akun nonaktif, akun Google uji. Kredensial berasal dari fixture QA; nilai salah/kolom kosong mengikuti dataset.
TBD: lengkapi aturan/data yang belum disahkan sebelum menjalankan kasus ini.</x:v>
      </x:c>
      <x:c r="G18" s="23" t="str">
        <x:v>Pendaftaran menunggu username valid; avatar kosong tidak menyebabkan kegagalan.</x:v>
      </x:c>
      <x:c r="H18" s="23" t="str">
        <x:v>Sesi sesuai hasil yang diharapkan. Login gagal tidak membuat sesi; logout mengakhiri sesi. Reset sesi setelah verifikasi.</x:v>
      </x:c>
      <x:c r="I18" s="24"/>
      <x:c r="J18" s="25" t="str">
        <x:v>Not Run</x:v>
      </x:c>
    </x:row>
    <x:row r="19" ht="100" customHeight="1">
      <x:c r="A19" s="22" t="str">
        <x:v>TC-02-06</x:v>
      </x:c>
      <x:c r="B19" s="23" t="str">
        <x:v>TS-02
Login logout dan Google</x:v>
      </x:c>
      <x:c r="C19" s="23" t="str">
        <x:v>Google berikutnya
Prioritas: P1
Desain: Review</x:v>
      </x:c>
      <x:c r="D19" s="23" t="str">
        <x:v>Akun lokal aktif, Google, suspended, dan akun lokal belum terhubung tersedia.</x:v>
      </x:c>
      <x:c r="E19" s="23" t="str">
        <x:v>1. Ubah profil pengguna lalu login ulang dengan google_id sama.</x:v>
      </x:c>
      <x:c r="F19" s="23" t="str">
        <x:v>Akun QA aktif USER dan ADMIN, akun nonaktif, akun Google uji. Kredensial berasal dari fixture QA; nilai salah/kolom kosong mengikuti dataset.</x:v>
      </x:c>
      <x:c r="G19" s="23" t="str">
        <x:v>Akun sama digunakan; tidak ada akun baru; profil tidak otomatis ditimpa.</x:v>
      </x:c>
      <x:c r="H19" s="23" t="str">
        <x:v>Sesi sesuai hasil yang diharapkan. Login gagal tidak membuat sesi; logout mengakhiri sesi. Reset sesi setelah verifikasi.</x:v>
      </x:c>
      <x:c r="I19" s="24"/>
      <x:c r="J19" s="25" t="str">
        <x:v>Not Run</x:v>
      </x:c>
    </x:row>
    <x:row r="20" ht="100" customHeight="1">
      <x:c r="A20" s="22" t="str">
        <x:v>TC-02-07</x:v>
      </x:c>
      <x:c r="B20" s="23" t="str">
        <x:v>TS-02
Login logout dan Google</x:v>
      </x:c>
      <x:c r="C20" s="23" t="str">
        <x:v>Autentikasi Google gagal
Prioritas: P1
Desain: Review</x:v>
      </x:c>
      <x:c r="D20" s="23" t="str">
        <x:v>Akun lokal aktif, Google, suspended, dan akun lokal belum terhubung tersedia.</x:v>
      </x:c>
      <x:c r="E20" s="23" t="str">
        <x:v>1. Batalkan consent
2. uji callback gagal dan state tidak valid di lingkungan uji.</x:v>
      </x:c>
      <x:c r="F20" s="23" t="str">
        <x:v>Akun QA aktif USER dan ADMIN, akun nonaktif, akun Google uji. Kredensial berasal dari fixture QA; nilai salah/kolom kosong mengikuti dataset.</x:v>
      </x:c>
      <x:c r="G20" s="23" t="str">
        <x:v>Tidak ada sesi atau akun baru dari autentikasi gagal/tidak valid.</x:v>
      </x:c>
      <x:c r="H20" s="23" t="str">
        <x:v>Sesi sesuai hasil yang diharapkan. Login gagal tidak membuat sesi; logout mengakhiri sesi. Reset sesi setelah verifikasi.</x:v>
      </x:c>
      <x:c r="I20" s="24" t="str">
        <x:v>Callback OAuth yang tidak valid atau dibatalkan ditangani dengan baik dan menampilkan pesan peringatan.</x:v>
      </x:c>
      <x:c r="J20" s="25" t="str">
        <x:v>Pass</x:v>
      </x:c>
    </x:row>
    <x:row r="21" ht="120" customHeight="1">
      <x:c r="A21" s="22" t="str">
        <x:v>TC-02-08</x:v>
      </x:c>
      <x:c r="B21" s="23" t="str">
        <x:v>TS-02
Login logout dan Google</x:v>
      </x:c>
      <x:c r="C21" s="23" t="str">
        <x:v>Hubungkan akun Google
Prioritas: P1
Desain: TBD</x:v>
      </x:c>
      <x:c r="D21" s="23" t="str">
        <x:v>Akun lokal aktif, Google, suspended, dan akun lokal belum terhubung tersedia.</x:v>
      </x:c>
      <x:c r="E21" s="23" t="str">
        <x:v>1. Gunakan Google dengan email akun lokal.
2. Coba tanpa pembuktian kepemilikan.
3. Ulangi setelah verifikasi sah.</x:v>
      </x:c>
      <x:c r="F21" s="23" t="str">
        <x:v>Akun QA aktif USER dan ADMIN, akun nonaktif, akun Google uji. Kredensial berasal dari fixture QA; nilai salah/kolom kosong mengikuti dataset.
TBD: lengkapi aturan/data yang belum disahkan sebelum menjalankan kasus ini.</x:v>
      </x:c>
      <x:c r="G21" s="23" t="str">
        <x:v>Email sama tidak cukup untuk menggabungkan akun; penghubungan berhasil setelah kepemilikan terbukti.</x:v>
      </x:c>
      <x:c r="H21" s="23" t="str">
        <x:v>Sesi sesuai hasil yang diharapkan. Login gagal tidak membuat sesi; logout mengakhiri sesi. Reset sesi setelah verifikasi.</x:v>
      </x:c>
      <x:c r="I21" s="24"/>
      <x:c r="J21" s="25" t="str">
        <x:v>Not Run</x:v>
      </x:c>
    </x:row>
    <x:row r="22" ht="100" customHeight="1">
      <x:c r="A22" s="22" t="str">
        <x:v>TC-02-09</x:v>
      </x:c>
      <x:c r="B22" s="23" t="str">
        <x:v>TS-02
Login logout dan Google</x:v>
      </x:c>
      <x:c r="C22" s="23" t="str">
        <x:v>Logout
Prioritas: P1
Desain: Review</x:v>
      </x:c>
      <x:c r="D22" s="23" t="str">
        <x:v>Akun lokal aktif, Google, suspended, dan akun lokal belum terhubung tersedia.</x:v>
      </x:c>
      <x:c r="E22" s="23" t="str">
        <x:v>1. Login.
2. Logout.
3. Buka URL privat dan kirim tindakan privat.</x:v>
      </x:c>
      <x:c r="F22" s="23" t="str">
        <x:v>Akun QA aktif USER dan ADMIN, akun nonaktif, akun Google uji. Kredensial berasal dari fixture QA; nilai salah/kolom kosong mengikuti dataset.</x:v>
      </x:c>
      <x:c r="G22" s="23" t="str">
        <x:v>Sesi berakhir; sesi lama tidak dapat mengakses data/tindakan privat.</x:v>
      </x:c>
      <x:c r="H22" s="23" t="str">
        <x:v>Sesi sesuai hasil yang diharapkan. Login gagal tidak membuat sesi; logout mengakhiri sesi. Reset sesi setelah verifikasi.</x:v>
      </x:c>
      <x:c r="I22" s="24" t="str">
        <x:v>Pengguna dapat logout, sesi dihapus, dan rute terlindungi dialihkan kembali ke halaman login.</x:v>
      </x:c>
      <x:c r="J22" s="25" t="str">
        <x:v>Pass</x:v>
      </x:c>
    </x:row>
    <x:row r="23" ht="100" customHeight="1">
      <x:c r="A23" s="22" t="str">
        <x:v>TC-02-10</x:v>
      </x:c>
      <x:c r="B23" s="23" t="str">
        <x:v>TS-02
Login logout dan Google</x:v>
      </x:c>
      <x:c r="C23" s="23" t="str">
        <x:v>Sesi kedaluwarsa
Prioritas: P1
Desain: Review</x:v>
      </x:c>
      <x:c r="D23" s="23" t="str">
        <x:v>Akun lokal aktif, Google, suspended, dan akun lokal belum terhubung tersedia.</x:v>
      </x:c>
      <x:c r="E23" s="23" t="str">
        <x:v>1. Buka halaman dan kirim perubahan setelah sesi berakhir.</x:v>
      </x:c>
      <x:c r="F23" s="23" t="str">
        <x:v>Akun QA aktif USER dan ADMIN, akun nonaktif, akun Google uji. Kredensial berasal dari fixture QA; nilai salah/kolom kosong mengikuti dataset.</x:v>
      </x:c>
      <x:c r="G23" s="23" t="str">
        <x:v>Diminta login kembali; perubahan tidak dijalankan sebagai pengguna lama.</x:v>
      </x:c>
      <x:c r="H23" s="23" t="str">
        <x:v>Sesi sesuai hasil yang diharapkan. Login gagal tidak membuat sesi; logout mengakhiri sesi. Reset sesi setelah verifikasi.</x:v>
      </x:c>
      <x:c r="I23" s="24"/>
      <x:c r="J23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3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Not Run"/>
  </x:conditionalFormatting>
  <x:dataValidations count="1">
    <x:dataValidation type="list" sqref="J14:J23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737b803874a99"/>
  </x:tableParts>
</x:worksheet>
</file>

<file path=xl/worksheets/sheet3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TS-03  Cari dan lihat listing</x:v>
      </x:c>
      <x:c r="B2" s="4" t="str">
        <x:v>TS-03  Cari dan lihat listing</x:v>
      </x:c>
      <x:c r="C2" s="4" t="str">
        <x:v>TS-03  Cari dan lihat listing</x:v>
      </x:c>
      <x:c r="D2" s="4" t="str">
        <x:v>TS-03  Cari dan lihat listing</x:v>
      </x:c>
      <x:c r="E2" s="4" t="str">
        <x:v>TS-03  Cari dan lihat listing</x:v>
      </x:c>
      <x:c r="F2" s="4" t="str">
        <x:v>TS-03  Cari dan lihat listing</x:v>
      </x:c>
      <x:c r="G2" s="4" t="str">
        <x:v>TS-03  Cari dan lihat listing</x:v>
      </x:c>
      <x:c r="H2" s="4" t="str">
        <x:v>TS-03  Cari dan lihat listing</x:v>
      </x:c>
      <x:c r="I2" s="4" t="str">
        <x:v>TS-03  Cari dan lihat listing</x:v>
      </x:c>
      <x:c r="J2" s="4" t="str">
        <x:v>TS-03  Cari dan lihat listing</x:v>
      </x:c>
    </x:row>
    <x:row r="3" ht="20" customHeight="1">
      <x:c r="A3" s="5" t="str">
        <x:v>TC-03-01 sampai TC-03-06  |  6 test case  |  Rancangan revisi 0.2</x:v>
      </x:c>
      <x:c r="B3" s="5" t="str">
        <x:v>TC-03-01 sampai TC-03-06  |  6 test case  |  Rancangan revisi 0.2</x:v>
      </x:c>
      <x:c r="C3" s="5" t="str">
        <x:v>TC-03-01 sampai TC-03-06  |  6 test case  |  Rancangan revisi 0.2</x:v>
      </x:c>
      <x:c r="D3" s="5" t="str">
        <x:v>TC-03-01 sampai TC-03-06  |  6 test case  |  Rancangan revisi 0.2</x:v>
      </x:c>
      <x:c r="E3" s="5" t="str">
        <x:v>TC-03-01 sampai TC-03-06  |  6 test case  |  Rancangan revisi 0.2</x:v>
      </x:c>
      <x:c r="F3" s="5" t="str">
        <x:v>TC-03-01 sampai TC-03-06  |  6 test case  |  Rancangan revisi 0.2</x:v>
      </x:c>
      <x:c r="G3" s="5" t="str">
        <x:v>TC-03-01 sampai TC-03-06  |  6 test case  |  Rancangan revisi 0.2</x:v>
      </x:c>
      <x:c r="H3" s="5" t="str">
        <x:v>TC-03-01 sampai TC-03-06  |  6 test case  |  Rancangan revisi 0.2</x:v>
      </x:c>
      <x:c r="I3" s="5" t="str">
        <x:v>TC-03-01 sampai TC-03-06  |  6 test case  |  Rancangan revisi 0.2</x:v>
      </x:c>
      <x:c r="J3" s="5" t="str">
        <x:v>TC-03-01 sampai TC-03-06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Cari dan lihat listing</x:v>
      </x:c>
      <x:c r="D5" s="3" t="str">
        <x:v>Cari dan lihat listing</x:v>
      </x:c>
      <x:c r="E5" s="3" t="str">
        <x:v>Cari dan lihat listing</x:v>
      </x:c>
      <x:c r="F5" s="3" t="str">
        <x:v>Cari dan lihat listing</x:v>
      </x:c>
      <x:c r="G5" s="7" t="str">
        <x:v>Scenario ID</x:v>
      </x:c>
      <x:c r="H5" s="7" t="str">
        <x:v>Scenario ID</x:v>
      </x:c>
      <x:c r="I5" s="3" t="str">
        <x:v>TS-03</x:v>
      </x:c>
      <x:c r="J5" s="3" t="str">
        <x:v>TS-03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TC-03-01</x:v>
      </x:c>
      <x:c r="B14" s="23" t="str">
        <x:v>TS-03
Cari dan lihat listing</x:v>
      </x:c>
      <x:c r="C14" s="23" t="str">
        <x:v>Daftar dan detail
Prioritas: P2
Desain: Review</x:v>
      </x:c>
      <x:c r="D14" s="23" t="str">
        <x:v>Listing aktif/nonaktif dan beberapa produk/varian tersedia.</x:v>
      </x:c>
      <x:c r="E14" s="23" t="str">
        <x:v>1. Buka marketplace lalu detail listing aktif.</x:v>
      </x:c>
      <x:c r="F14" s="23" t="str">
        <x:v>Listing QA aktif dan nonaktif; produk/varian valid; kata kunci cocok dan kata kunci tanpa hasil; akun tanpa listing dan dengan listing.</x:v>
      </x:c>
      <x:c r="G14" s="23" t="str">
        <x:v>Harga, deskripsi, Seller, varian, estimasi/metode penyerahan sesuai data.</x:v>
      </x:c>
      <x:c r="H14" s="23" t="str">
        <x:v>Daftar/detail dan navigasi sesuai hak akses. Tidak terbentuk transaksi dari sekadar pencarian atau membuka detail.</x:v>
      </x:c>
      <x:c r="I14" s="24" t="str">
        <x:v>Pengguna dan tamu dapat menjelajahi katalog listing aktif marketplace, melihat filter, dan kartu produk.</x:v>
      </x:c>
      <x:c r="J14" s="25" t="str">
        <x:v>Pass</x:v>
      </x:c>
    </x:row>
    <x:row r="15" ht="100" customHeight="1">
      <x:c r="A15" s="22" t="str">
        <x:v>TC-03-02</x:v>
      </x:c>
      <x:c r="B15" s="23" t="str">
        <x:v>TS-03
Cari dan lihat listing</x:v>
      </x:c>
      <x:c r="C15" s="23" t="str">
        <x:v>Pencarian cocok
Prioritas: P2
Desain: Review</x:v>
      </x:c>
      <x:c r="D15" s="23" t="str">
        <x:v>Listing aktif/nonaktif dan beberapa produk/varian tersedia.</x:v>
      </x:c>
      <x:c r="E15" s="23" t="str">
        <x:v>1. Cari kata kunci yang sesuai listing uji.</x:v>
      </x:c>
      <x:c r="F15" s="23" t="str">
        <x:v>Listing QA aktif dan nonaktif; produk/varian valid; kata kunci cocok dan kata kunci tanpa hasil; akun tanpa listing dan dengan listing.</x:v>
      </x:c>
      <x:c r="G15" s="23" t="str">
        <x:v>Hasil relevan ditampilkan sesuai aturan pencarian.</x:v>
      </x:c>
      <x:c r="H15" s="23" t="str">
        <x:v>Daftar/detail dan navigasi sesuai hak akses. Tidak terbentuk transaksi dari sekadar pencarian atau membuka detail.</x:v>
      </x:c>
      <x:c r="I15" s="24"/>
      <x:c r="J15" s="25" t="str">
        <x:v>Not Run</x:v>
      </x:c>
    </x:row>
    <x:row r="16" ht="100" customHeight="1">
      <x:c r="A16" s="22" t="str">
        <x:v>TC-03-03</x:v>
      </x:c>
      <x:c r="B16" s="23" t="str">
        <x:v>TS-03
Cari dan lihat listing</x:v>
      </x:c>
      <x:c r="C16" s="23" t="str">
        <x:v>Pencarian kosong
Prioritas: P2
Desain: Review</x:v>
      </x:c>
      <x:c r="D16" s="23" t="str">
        <x:v>Listing aktif/nonaktif dan beberapa produk/varian tersedia.</x:v>
      </x:c>
      <x:c r="E16" s="23" t="str">
        <x:v>1. Cari kata kunci yang tidak tersedia.</x:v>
      </x:c>
      <x:c r="F16" s="23" t="str">
        <x:v>Listing QA aktif dan nonaktif; produk/varian valid; kata kunci cocok dan kata kunci tanpa hasil; akun tanpa listing dan dengan listing.</x:v>
      </x:c>
      <x:c r="G16" s="23" t="str">
        <x:v>Keadaan kosong ditampilkan tanpa error.</x:v>
      </x:c>
      <x:c r="H16" s="23" t="str">
        <x:v>Daftar/detail dan navigasi sesuai hak akses. Tidak terbentuk transaksi dari sekadar pencarian atau membuka detail.</x:v>
      </x:c>
      <x:c r="I16" s="24"/>
      <x:c r="J16" s="25" t="str">
        <x:v>Not Run</x:v>
      </x:c>
    </x:row>
    <x:row r="17" ht="100" customHeight="1">
      <x:c r="A17" s="22" t="str">
        <x:v>TC-03-04</x:v>
      </x:c>
      <x:c r="B17" s="23" t="str">
        <x:v>TS-03
Cari dan lihat listing</x:v>
      </x:c>
      <x:c r="C17" s="23" t="str">
        <x:v>Listing nonaktif atau tidak ada
Prioritas: P2
Desain: Review</x:v>
      </x:c>
      <x:c r="D17" s="23" t="str">
        <x:v>Listing aktif/nonaktif dan beberapa produk/varian tersedia.</x:v>
      </x:c>
      <x:c r="E17" s="23" t="str">
        <x:v>1. Buka URL listing nonaktif/ID tidak ada
2. coba mulai transaksi.</x:v>
      </x:c>
      <x:c r="F17" s="23" t="str">
        <x:v>Listing QA aktif dan nonaktif; produk/varian valid; kata kunci cocok dan kata kunci tanpa hasil; akun tanpa listing dan dengan listing.</x:v>
      </x:c>
      <x:c r="G17" s="23" t="str">
        <x:v>Tidak dapat memulai transaksi baru; tidak ada kebocoran data atau error internal.</x:v>
      </x:c>
      <x:c r="H17" s="23" t="str">
        <x:v>Daftar/detail dan navigasi sesuai hak akses. Tidak terbentuk transaksi dari sekadar pencarian atau membuka detail.</x:v>
      </x:c>
      <x:c r="I17" s="24" t="str">
        <x:v>Akses ke detail listing dengan ID tidak valid atau tidak ditemukan mengembalikan halaman 404 Not Found.</x:v>
      </x:c>
      <x:c r="J17" s="25" t="str">
        <x:v>Pass</x:v>
      </x:c>
    </x:row>
    <x:row r="18" ht="100" customHeight="1">
      <x:c r="A18" s="22" t="str">
        <x:v>TC-03-05</x:v>
      </x:c>
      <x:c r="B18" s="23" t="str">
        <x:v>TS-03
Cari dan lihat listing</x:v>
      </x:c>
      <x:c r="C18" s="23" t="str">
        <x:v>Akses ingin berjualan
Prioritas: P2
Desain: Review</x:v>
      </x:c>
      <x:c r="D18" s="23" t="str">
        <x:v>Listing aktif/nonaktif dan beberapa produk/varian tersedia.</x:v>
      </x:c>
      <x:c r="E18" s="23" t="str">
        <x:v>1. Login akun tanpa listing
2. buka Marketplace
3. tekan ingin berjualan.</x:v>
      </x:c>
      <x:c r="F18" s="23" t="str">
        <x:v>Listing QA aktif dan nonaktif; produk/varian valid; kata kunci cocok dan kata kunci tanpa hasil; akun tanpa listing dan dengan listing.</x:v>
      </x:c>
      <x:c r="G18" s="23" t="str">
        <x:v>Aksi menuju form listing. Tombol mulai berjualan lama tidak muncul pada lokasi yang sudah diganti.</x:v>
      </x:c>
      <x:c r="H18" s="23" t="str">
        <x:v>Daftar/detail dan navigasi sesuai hak akses. Tidak terbentuk transaksi dari sekadar pencarian atau membuka detail.</x:v>
      </x:c>
      <x:c r="I18" s="24" t="str">
        <x:v>Pengguna yang belum menjadi penjual diarahkan ke halaman pendaftaran penjual saat klik 'Ingin Berjualan'.</x:v>
      </x:c>
      <x:c r="J18" s="25" t="str">
        <x:v>Pass</x:v>
      </x:c>
    </x:row>
    <x:row r="19" ht="100" customHeight="1">
      <x:c r="A19" s="22" t="str">
        <x:v>TC-03-06</x:v>
      </x:c>
      <x:c r="B19" s="23" t="str">
        <x:v>TS-03
Cari dan lihat listing</x:v>
      </x:c>
      <x:c r="C19" s="23" t="str">
        <x:v>Menu listing setelah produk pertama
Prioritas: P2
Desain: Review</x:v>
      </x:c>
      <x:c r="D19" s="23" t="str">
        <x:v>Listing aktif/nonaktif dan beberapa produk/varian tersedia.</x:v>
      </x:c>
      <x:c r="E19" s="23" t="str">
        <x:v>1. Pada A tanpa listing, catat navbar
2. buat satu listing valid lalu refresh/login ulang.</x:v>
      </x:c>
      <x:c r="F19" s="23" t="str">
        <x:v>Listing QA aktif dan nonaktif; produk/varian valid; kata kunci cocok dan kata kunci tanpa hasil; akun tanpa listing dan dengan listing.</x:v>
      </x:c>
      <x:c r="G19" s="23" t="str">
        <x:v>Menu listing belum muncul sebelum produk pertama dan muncul setelah minimal satu produk dibuat. Perilaku setelah seluruh listing dihapus menunggu D12.</x:v>
      </x:c>
      <x:c r="H19" s="23" t="str">
        <x:v>Daftar/detail dan navigasi sesuai hak akses. Tidak terbentuk transaksi dari sekadar pencarian atau membuka detail.</x:v>
      </x:c>
      <x:c r="I19" s="24" t="str">
        <x:v>Navigasi kelola listing tidak ditampilkan untuk pengguna non-penjual / tamu.</x:v>
      </x:c>
      <x:c r="J19" s="25" t="str">
        <x:v>Pass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  <x:cfRule type="containsText" dxfId="11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7ec61fadab470c"/>
  </x:tableParts>
</x:worksheet>
</file>

<file path=xl/worksheets/sheet4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TS-04  Kelola listing</x:v>
      </x:c>
      <x:c r="B2" s="4" t="str">
        <x:v>TS-04  Kelola listing</x:v>
      </x:c>
      <x:c r="C2" s="4" t="str">
        <x:v>TS-04  Kelola listing</x:v>
      </x:c>
      <x:c r="D2" s="4" t="str">
        <x:v>TS-04  Kelola listing</x:v>
      </x:c>
      <x:c r="E2" s="4" t="str">
        <x:v>TS-04  Kelola listing</x:v>
      </x:c>
      <x:c r="F2" s="4" t="str">
        <x:v>TS-04  Kelola listing</x:v>
      </x:c>
      <x:c r="G2" s="4" t="str">
        <x:v>TS-04  Kelola listing</x:v>
      </x:c>
      <x:c r="H2" s="4" t="str">
        <x:v>TS-04  Kelola listing</x:v>
      </x:c>
      <x:c r="I2" s="4" t="str">
        <x:v>TS-04  Kelola listing</x:v>
      </x:c>
      <x:c r="J2" s="4" t="str">
        <x:v>TS-04  Kelola listing</x:v>
      </x:c>
    </x:row>
    <x:row r="3" ht="20" customHeight="1">
      <x:c r="A3" s="5" t="str">
        <x:v>TC-04-01 sampai TC-04-05  |  5 test case  |  Rancangan revisi 0.2</x:v>
      </x:c>
      <x:c r="B3" s="5" t="str">
        <x:v>TC-04-01 sampai TC-04-05  |  5 test case  |  Rancangan revisi 0.2</x:v>
      </x:c>
      <x:c r="C3" s="5" t="str">
        <x:v>TC-04-01 sampai TC-04-05  |  5 test case  |  Rancangan revisi 0.2</x:v>
      </x:c>
      <x:c r="D3" s="5" t="str">
        <x:v>TC-04-01 sampai TC-04-05  |  5 test case  |  Rancangan revisi 0.2</x:v>
      </x:c>
      <x:c r="E3" s="5" t="str">
        <x:v>TC-04-01 sampai TC-04-05  |  5 test case  |  Rancangan revisi 0.2</x:v>
      </x:c>
      <x:c r="F3" s="5" t="str">
        <x:v>TC-04-01 sampai TC-04-05  |  5 test case  |  Rancangan revisi 0.2</x:v>
      </x:c>
      <x:c r="G3" s="5" t="str">
        <x:v>TC-04-01 sampai TC-04-05  |  5 test case  |  Rancangan revisi 0.2</x:v>
      </x:c>
      <x:c r="H3" s="5" t="str">
        <x:v>TC-04-01 sampai TC-04-05  |  5 test case  |  Rancangan revisi 0.2</x:v>
      </x:c>
      <x:c r="I3" s="5" t="str">
        <x:v>TC-04-01 sampai TC-04-05  |  5 test case  |  Rancangan revisi 0.2</x:v>
      </x:c>
      <x:c r="J3" s="5" t="str">
        <x:v>TC-04-01 sampai TC-04-05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Kelola listing</x:v>
      </x:c>
      <x:c r="D5" s="3" t="str">
        <x:v>Kelola listing</x:v>
      </x:c>
      <x:c r="E5" s="3" t="str">
        <x:v>Kelola listing</x:v>
      </x:c>
      <x:c r="F5" s="3" t="str">
        <x:v>Kelola listing</x:v>
      </x:c>
      <x:c r="G5" s="7" t="str">
        <x:v>Scenario ID</x:v>
      </x:c>
      <x:c r="H5" s="7" t="str">
        <x:v>Scenario ID</x:v>
      </x:c>
      <x:c r="I5" s="3" t="str">
        <x:v>TS-04</x:v>
      </x:c>
      <x:c r="J5" s="3" t="str">
        <x:v>TS-04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TC-04-01</x:v>
      </x:c>
      <x:c r="B14" s="23" t="str">
        <x:v>TS-04
Kelola listing</x:v>
      </x:c>
      <x:c r="C14" s="23" t="str">
        <x:v>Buat listing valid
Prioritas: P2
Desain: Review</x:v>
      </x:c>
      <x:c r="D14" s="23" t="str">
        <x:v>Seller A dan B aktif; katalog tersedia.</x:v>
      </x:c>
      <x:c r="E14" s="23" t="str">
        <x:v>1. Isi produk/varian, judul, deskripsi, harga, estimasi penyerahan
2. simpan.</x:v>
      </x:c>
      <x:c r="F14" s="23" t="str">
        <x:v>Seller QA A/B; kategori-produk-varian sah; judul/deskripsi, harga dan estimasi penyerahan pada fixture listing.</x:v>
      </x:c>
      <x:c r="G14" s="23" t="str">
        <x:v>Listing tersimpan atas pemilik benar; dapat ditemukan saat aktif.</x:v>
      </x:c>
      <x:c r="H14" s="23" t="str">
        <x:v>Listing hanya berubah oleh pemilik yang sah. Request ditolak tidak mengubah data; snapshot transaksi lama tetap.</x:v>
      </x:c>
      <x:c r="I14" s="24" t="str">
        <x:v>Penjual terdaftar dapat membuat listing produk baru dan tersimpan dengan status ACTIVE.</x:v>
      </x:c>
      <x:c r="J14" s="25" t="str">
        <x:v>Pass</x:v>
      </x:c>
    </x:row>
    <x:row r="15" ht="100" customHeight="1">
      <x:c r="A15" s="22" t="str">
        <x:v>TC-04-02</x:v>
      </x:c>
      <x:c r="B15" s="23" t="str">
        <x:v>TS-04
Kelola listing</x:v>
      </x:c>
      <x:c r="C15" s="23" t="str">
        <x:v>Ubah listing sendiri
Prioritas: P2
Desain: Review</x:v>
      </x:c>
      <x:c r="D15" s="23" t="str">
        <x:v>Seller A dan B aktif; katalog tersedia.</x:v>
      </x:c>
      <x:c r="E15" s="23" t="str">
        <x:v>1. Ubah harga, rincian, estimasi listing sendiri.</x:v>
      </x:c>
      <x:c r="F15" s="23" t="str">
        <x:v>Seller QA A/B; kategori-produk-varian sah; judul/deskripsi, harga dan estimasi penyerahan pada fixture listing.</x:v>
      </x:c>
      <x:c r="G15" s="23" t="str">
        <x:v>Perubahan tersimpan; agreement final lama tetap sama.</x:v>
      </x:c>
      <x:c r="H15" s="23" t="str">
        <x:v>Listing hanya berubah oleh pemilik yang sah. Request ditolak tidak mengubah data; snapshot transaksi lama tetap.</x:v>
      </x:c>
      <x:c r="I15" s="24" t="str">
        <x:v>Penjual dapat memperbarui judul, deskripsi, dan harga pada listing miliknya.</x:v>
      </x:c>
      <x:c r="J15" s="25" t="str">
        <x:v>Pass</x:v>
      </x:c>
    </x:row>
    <x:row r="16" ht="100" customHeight="1">
      <x:c r="A16" s="22" t="str">
        <x:v>TC-04-03</x:v>
      </x:c>
      <x:c r="B16" s="23" t="str">
        <x:v>TS-04
Kelola listing</x:v>
      </x:c>
      <x:c r="C16" s="23" t="str">
        <x:v>Nonaktifkan listing
Prioritas: P2
Desain: Review</x:v>
      </x:c>
      <x:c r="D16" s="23" t="str">
        <x:v>Seller A dan B aktif; katalog tersedia.</x:v>
      </x:c>
      <x:c r="E16" s="23" t="str">
        <x:v>1. Nonaktifkan listing lalu coba checkout baru.</x:v>
      </x:c>
      <x:c r="F16" s="23" t="str">
        <x:v>Seller QA A/B; kategori-produk-varian sah; judul/deskripsi, harga dan estimasi penyerahan pada fixture listing.</x:v>
      </x:c>
      <x:c r="G16" s="23" t="str">
        <x:v>Transaksi baru ditolak; transaksi sebelumnya tetap dapat ditelusuri.</x:v>
      </x:c>
      <x:c r="H16" s="23" t="str">
        <x:v>Listing hanya berubah oleh pemilik yang sah. Request ditolak tidak mengubah data; snapshot transaksi lama tetap.</x:v>
      </x:c>
      <x:c r="I16" s="24" t="str">
        <x:v>Penjual dapat menutup listing (status berubah menjadi CLOSED) dan status diperbarui di tampilan.</x:v>
      </x:c>
      <x:c r="J16" s="25" t="str">
        <x:v>Pass</x:v>
      </x:c>
    </x:row>
    <x:row r="17" ht="100" customHeight="1">
      <x:c r="A17" s="22" t="str">
        <x:v>TC-04-04</x:v>
      </x:c>
      <x:c r="B17" s="23" t="str">
        <x:v>TS-04
Kelola listing</x:v>
      </x:c>
      <x:c r="C17" s="23" t="str">
        <x:v>Validasi listing
Prioritas: P2
Desain: Review</x:v>
      </x:c>
      <x:c r="D17" s="23" t="str">
        <x:v>Seller A dan B aktif; katalog tersedia.</x:v>
      </x:c>
      <x:c r="E17" s="23" t="str">
        <x:v>1. Uji kolom wajib kosong, harga nol/negatif, varian tidak sah, durasi nol/negatif.</x:v>
      </x:c>
      <x:c r="F17" s="23" t="str">
        <x:v>Seller QA A/B; kategori-produk-varian sah; judul/deskripsi, harga dan estimasi penyerahan pada fixture listing.</x:v>
      </x:c>
      <x:c r="G17" s="23" t="str">
        <x:v>Data tidak valid ditolak; tidak ada penyimpanan sebagian.</x:v>
      </x:c>
      <x:c r="H17" s="23" t="str">
        <x:v>Listing hanya berubah oleh pemilik yang sah. Request ditolak tidak mengubah data; snapshot transaksi lama tetap.</x:v>
      </x:c>
      <x:c r="I17" s="24" t="str">
        <x:v>Form listing menolak input kosong pada kolom wajib dan menolak harga/stok negatif.</x:v>
      </x:c>
      <x:c r="J17" s="25" t="str">
        <x:v>Pass</x:v>
      </x:c>
    </x:row>
    <x:row r="18" ht="100" customHeight="1">
      <x:c r="A18" s="22" t="str">
        <x:v>TC-04-05</x:v>
      </x:c>
      <x:c r="B18" s="23" t="str">
        <x:v>TS-04
Kelola listing</x:v>
      </x:c>
      <x:c r="C18" s="23" t="str">
        <x:v>Listing pihak lain
Prioritas: P2
Desain: Review</x:v>
      </x:c>
      <x:c r="D18" s="23" t="str">
        <x:v>Seller A dan B aktif; katalog tersedia.</x:v>
      </x:c>
      <x:c r="E18" s="23" t="str">
        <x:v>1. Seller B mencoba ubah/nonaktifkan listing A melalui UI/request langsung.</x:v>
      </x:c>
      <x:c r="F18" s="23" t="str">
        <x:v>Seller QA A/B; kategori-produk-varian sah; judul/deskripsi, harga dan estimasi penyerahan pada fixture listing.</x:v>
      </x:c>
      <x:c r="G18" s="23" t="str">
        <x:v>Ditolak; listing tetap sama.</x:v>
      </x:c>
      <x:c r="H18" s="23" t="str">
        <x:v>Listing hanya berubah oleh pemilik yang sah. Request ditolak tidak mengubah data; snapshot transaksi lama tetap.</x:v>
      </x:c>
      <x:c r="I18" s="24" t="str">
        <x:v>Penjual lain ditolak mengakses halaman edit listing milik orang lain dengan respon 403 Forbidden.</x:v>
      </x:c>
      <x:c r="J18" s="25" t="str">
        <x:v>Pass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  <x:cfRule type="containsText" dxfId="15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b38dfe9744c7f"/>
  </x:tableParts>
</x:worksheet>
</file>

<file path=xl/worksheets/sheet5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TS-05  Informasi pasar produk</x:v>
      </x:c>
      <x:c r="B2" s="4" t="str">
        <x:v>TS-05  Informasi pasar produk</x:v>
      </x:c>
      <x:c r="C2" s="4" t="str">
        <x:v>TS-05  Informasi pasar produk</x:v>
      </x:c>
      <x:c r="D2" s="4" t="str">
        <x:v>TS-05  Informasi pasar produk</x:v>
      </x:c>
      <x:c r="E2" s="4" t="str">
        <x:v>TS-05  Informasi pasar produk</x:v>
      </x:c>
      <x:c r="F2" s="4" t="str">
        <x:v>TS-05  Informasi pasar produk</x:v>
      </x:c>
      <x:c r="G2" s="4" t="str">
        <x:v>TS-05  Informasi pasar produk</x:v>
      </x:c>
      <x:c r="H2" s="4" t="str">
        <x:v>TS-05  Informasi pasar produk</x:v>
      </x:c>
      <x:c r="I2" s="4" t="str">
        <x:v>TS-05  Informasi pasar produk</x:v>
      </x:c>
      <x:c r="J2" s="4" t="str">
        <x:v>TS-05  Informasi pasar produk</x:v>
      </x:c>
    </x:row>
    <x:row r="3" ht="20" customHeight="1">
      <x:c r="A3" s="5" t="str">
        <x:v>TC-05-01 sampai TC-05-06  |  6 test case  |  Rancangan revisi 0.2</x:v>
      </x:c>
      <x:c r="B3" s="5" t="str">
        <x:v>TC-05-01 sampai TC-05-06  |  6 test case  |  Rancangan revisi 0.2</x:v>
      </x:c>
      <x:c r="C3" s="5" t="str">
        <x:v>TC-05-01 sampai TC-05-06  |  6 test case  |  Rancangan revisi 0.2</x:v>
      </x:c>
      <x:c r="D3" s="5" t="str">
        <x:v>TC-05-01 sampai TC-05-06  |  6 test case  |  Rancangan revisi 0.2</x:v>
      </x:c>
      <x:c r="E3" s="5" t="str">
        <x:v>TC-05-01 sampai TC-05-06  |  6 test case  |  Rancangan revisi 0.2</x:v>
      </x:c>
      <x:c r="F3" s="5" t="str">
        <x:v>TC-05-01 sampai TC-05-06  |  6 test case  |  Rancangan revisi 0.2</x:v>
      </x:c>
      <x:c r="G3" s="5" t="str">
        <x:v>TC-05-01 sampai TC-05-06  |  6 test case  |  Rancangan revisi 0.2</x:v>
      </x:c>
      <x:c r="H3" s="5" t="str">
        <x:v>TC-05-01 sampai TC-05-06  |  6 test case  |  Rancangan revisi 0.2</x:v>
      </x:c>
      <x:c r="I3" s="5" t="str">
        <x:v>TC-05-01 sampai TC-05-06  |  6 test case  |  Rancangan revisi 0.2</x:v>
      </x:c>
      <x:c r="J3" s="5" t="str">
        <x:v>TC-05-01 sampai TC-05-06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Informasi pasar produk</x:v>
      </x:c>
      <x:c r="D5" s="3" t="str">
        <x:v>Informasi pasar produk</x:v>
      </x:c>
      <x:c r="E5" s="3" t="str">
        <x:v>Informasi pasar produk</x:v>
      </x:c>
      <x:c r="F5" s="3" t="str">
        <x:v>Informasi pasar produk</x:v>
      </x:c>
      <x:c r="G5" s="7" t="str">
        <x:v>Scenario ID</x:v>
      </x:c>
      <x:c r="H5" s="7" t="str">
        <x:v>Scenario ID</x:v>
      </x:c>
      <x:c r="I5" s="3" t="str">
        <x:v>TS-05</x:v>
      </x:c>
      <x:c r="J5" s="3" t="str">
        <x:v>TS-05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TC-05-01</x:v>
      </x:c>
      <x:c r="B14" s="23" t="str">
        <x:v>TS-05
Informasi pasar produk</x:v>
      </x:c>
      <x:c r="C14" s="23" t="str">
        <x:v>Demand
Prioritas: P2
Desain: TBD</x:v>
      </x:c>
      <x:c r="D14" s="23" t="str">
        <x:v>Dataset WTB/WTS, listing, transaksi lintas varian/status tersedia. Periode dan minimum data TBD.</x:v>
      </x:c>
      <x:c r="E14" s="23" t="str">
        <x:v>1. Siapkan 3 WTB aktif dan 1 nonaktif pada varian sama
2. buka indikator.</x:v>
      </x:c>
      <x:c r="F14" s="23" t="str">
        <x:v>WTB/WTS aktif/nonaktif dan transaksi selesai lintas varian/status; periode serta minimum data mengikuti keputusan D10.
TBD: lengkapi aturan/data yang belum disahkan sebelum menjalankan kasus ini.</x:v>
      </x:c>
      <x:c r="G14" s="23" t="str">
        <x:v>Jika definisi usulan disahkan, demand = 3 dalam periode berlaku; sumber/periode dijelaskan.</x:v>
      </x:c>
      <x:c r="H14" s="23" t="str">
        <x:v>Indikator mengikuti dataset/periode yang disahkan; tidak mengubah data transaksi sumber.</x:v>
      </x:c>
      <x:c r="I14" s="24"/>
      <x:c r="J14" s="25" t="str">
        <x:v>Not Run</x:v>
      </x:c>
    </x:row>
    <x:row r="15" ht="107" customHeight="1">
      <x:c r="A15" s="22" t="str">
        <x:v>TC-05-02</x:v>
      </x:c>
      <x:c r="B15" s="23" t="str">
        <x:v>TS-05
Informasi pasar produk</x:v>
      </x:c>
      <x:c r="C15" s="23" t="str">
        <x:v>Supply
Prioritas: P2
Desain: TBD</x:v>
      </x:c>
      <x:c r="D15" s="23" t="str">
        <x:v>Dataset WTB/WTS, listing, transaksi lintas varian/status tersedia. Periode dan minimum data TBD.</x:v>
      </x:c>
      <x:c r="E15" s="23" t="str">
        <x:v>1. Siapkan 2 listing aktif, 1 WTS aktif, serta penawaran nonaktif.</x:v>
      </x:c>
      <x:c r="F15" s="23" t="str">
        <x:v>WTB/WTS aktif/nonaktif dan transaksi selesai lintas varian/status; periode serta minimum data mengikuti keputusan D10.
TBD: lengkapi aturan/data yang belum disahkan sebelum menjalankan kasus ini.</x:v>
      </x:c>
      <x:c r="G15" s="23" t="str">
        <x:v>Jika definisi usulan disahkan, supply = 3; bukan jumlah stok nyata.</x:v>
      </x:c>
      <x:c r="H15" s="23" t="str">
        <x:v>Indikator mengikuti dataset/periode yang disahkan; tidak mengubah data transaksi sumber.</x:v>
      </x:c>
      <x:c r="I15" s="24"/>
      <x:c r="J15" s="25" t="str">
        <x:v>Not Run</x:v>
      </x:c>
    </x:row>
    <x:row r="16" ht="133" customHeight="1">
      <x:c r="A16" s="22" t="str">
        <x:v>TC-05-03</x:v>
      </x:c>
      <x:c r="B16" s="23" t="str">
        <x:v>TS-05
Informasi pasar produk</x:v>
      </x:c>
      <x:c r="C16" s="23" t="str">
        <x:v>Rata rata harga
Prioritas: P2
Desain: TBD</x:v>
      </x:c>
      <x:c r="D16" s="23" t="str">
        <x:v>Dataset WTB/WTS, listing, transaksi lintas varian/status tersedia. Periode dan minimum data TBD.</x:v>
      </x:c>
      <x:c r="E16" s="23" t="str">
        <x:v>1. Siapkan transaksi selesai Rp100.000 dan Rp200.000 pada varian sama.</x:v>
      </x:c>
      <x:c r="F16" s="23" t="str">
        <x:v>WTB/WTS aktif/nonaktif dan transaksi selesai lintas varian/status; periode serta minimum data mengikuti keputusan D10.
Nilai khusus: Rp100.000; Rp200.000.
TBD: lengkapi aturan/data yang belum disahkan sebelum menjalankan kasus ini.</x:v>
      </x:c>
      <x:c r="G16" s="23" t="str">
        <x:v>Jika memenuhi periode/minimum data, rata-rata Rp150.000; jumlah data 2; tanpa fee.</x:v>
      </x:c>
      <x:c r="H16" s="23" t="str">
        <x:v>Indikator mengikuti dataset/periode yang disahkan; tidak mengubah data transaksi sumber.</x:v>
      </x:c>
      <x:c r="I16" s="24"/>
      <x:c r="J16" s="25" t="str">
        <x:v>Not Run</x:v>
      </x:c>
    </x:row>
    <x:row r="17" ht="107" customHeight="1">
      <x:c r="A17" s="22" t="str">
        <x:v>TC-05-04</x:v>
      </x:c>
      <x:c r="B17" s="23" t="str">
        <x:v>TS-05
Informasi pasar produk</x:v>
      </x:c>
      <x:c r="C17" s="23" t="str">
        <x:v>Pemisahan varian
Prioritas: P2
Desain: TBD</x:v>
      </x:c>
      <x:c r="D17" s="23" t="str">
        <x:v>Dataset WTB/WTS, listing, transaksi lintas varian/status tersedia. Periode dan minimum data TBD.</x:v>
      </x:c>
      <x:c r="E17" s="23" t="str">
        <x:v>1. Tambahkan produk mirip/varian lain dengan harga berbeda.</x:v>
      </x:c>
      <x:c r="F17" s="23" t="str">
        <x:v>WTB/WTS aktif/nonaktif dan transaksi selesai lintas varian/status; periode serta minimum data mengikuti keputusan D10.
TBD: lengkapi aturan/data yang belum disahkan sebelum menjalankan kasus ini.</x:v>
      </x:c>
      <x:c r="G17" s="23" t="str">
        <x:v>Varian lain tidak masuk perhitungan varian yang dibuka.</x:v>
      </x:c>
      <x:c r="H17" s="23" t="str">
        <x:v>Indikator mengikuti dataset/periode yang disahkan; tidak mengubah data transaksi sumber.</x:v>
      </x:c>
      <x:c r="I17" s="24"/>
      <x:c r="J17" s="25" t="str">
        <x:v>Not Run</x:v>
      </x:c>
    </x:row>
    <x:row r="18" ht="107" customHeight="1">
      <x:c r="A18" s="22" t="str">
        <x:v>TC-05-05</x:v>
      </x:c>
      <x:c r="B18" s="23" t="str">
        <x:v>TS-05
Informasi pasar produk</x:v>
      </x:c>
      <x:c r="C18" s="23" t="str">
        <x:v>Filter status dan periode
Prioritas: P2
Desain: TBD</x:v>
      </x:c>
      <x:c r="D18" s="23" t="str">
        <x:v>Dataset WTB/WTS, listing, transaksi lintas varian/status tersedia. Periode dan minimum data TBD.</x:v>
      </x:c>
      <x:c r="E18" s="23" t="str">
        <x:v>1. Tambahkan cancelled, refunded, belum selesai, dan transaksi di luar periode.</x:v>
      </x:c>
      <x:c r="F18" s="23" t="str">
        <x:v>WTB/WTS aktif/nonaktif dan transaksi selesai lintas varian/status; periode serta minimum data mengikuti keputusan D10.
TBD: lengkapi aturan/data yang belum disahkan sebelum menjalankan kasus ini.</x:v>
      </x:c>
      <x:c r="G18" s="23" t="str">
        <x:v>Data tidak memenuhi syarat tidak masuk rata-rata.</x:v>
      </x:c>
      <x:c r="H18" s="23" t="str">
        <x:v>Indikator mengikuti dataset/periode yang disahkan; tidak mengubah data transaksi sumber.</x:v>
      </x:c>
      <x:c r="I18" s="24"/>
      <x:c r="J18" s="25" t="str">
        <x:v>Not Run</x:v>
      </x:c>
    </x:row>
    <x:row r="19" ht="107" customHeight="1">
      <x:c r="A19" s="22" t="str">
        <x:v>TC-05-06</x:v>
      </x:c>
      <x:c r="B19" s="23" t="str">
        <x:v>TS-05
Informasi pasar produk</x:v>
      </x:c>
      <x:c r="C19" s="23" t="str">
        <x:v>Tanpa data harga
Prioritas: P2
Desain: TBD</x:v>
      </x:c>
      <x:c r="D19" s="23" t="str">
        <x:v>Dataset WTB/WTS, listing, transaksi lintas varian/status tersedia. Periode dan minimum data TBD.</x:v>
      </x:c>
      <x:c r="E19" s="23" t="str">
        <x:v>1. Buka varian tanpa transaksi layak.</x:v>
      </x:c>
      <x:c r="F19" s="23" t="str">
        <x:v>WTB/WTS aktif/nonaktif dan transaksi selesai lintas varian/status; periode serta minimum data mengikuti keputusan D10.
TBD: lengkapi aturan/data yang belum disahkan sebelum menjalankan kasus ini.</x:v>
      </x:c>
      <x:c r="G19" s="23" t="str">
        <x:v>Tampil “Data harga belum tersedia”; tidak ada rata-rata palsu atau error.</x:v>
      </x:c>
      <x:c r="H19" s="23" t="str">
        <x:v>Indikator mengikuti dataset/periode yang disahkan; tidak mengubah data transaksi sumber.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Blocked"/>
    <x:cfRule type="containsText" dxfId="19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21feed94214775"/>
  </x:tableParts>
</x:worksheet>
</file>

<file path=xl/worksheets/sheet6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TS-06  Interaksi forum</x:v>
      </x:c>
      <x:c r="B2" s="4" t="str">
        <x:v>TS-06  Interaksi forum</x:v>
      </x:c>
      <x:c r="C2" s="4" t="str">
        <x:v>TS-06  Interaksi forum</x:v>
      </x:c>
      <x:c r="D2" s="4" t="str">
        <x:v>TS-06  Interaksi forum</x:v>
      </x:c>
      <x:c r="E2" s="4" t="str">
        <x:v>TS-06  Interaksi forum</x:v>
      </x:c>
      <x:c r="F2" s="4" t="str">
        <x:v>TS-06  Interaksi forum</x:v>
      </x:c>
      <x:c r="G2" s="4" t="str">
        <x:v>TS-06  Interaksi forum</x:v>
      </x:c>
      <x:c r="H2" s="4" t="str">
        <x:v>TS-06  Interaksi forum</x:v>
      </x:c>
      <x:c r="I2" s="4" t="str">
        <x:v>TS-06  Interaksi forum</x:v>
      </x:c>
      <x:c r="J2" s="4" t="str">
        <x:v>TS-06  Interaksi forum</x:v>
      </x:c>
    </x:row>
    <x:row r="3" ht="20" customHeight="1">
      <x:c r="A3" s="5" t="str">
        <x:v>TC-06-01 sampai TC-06-07  |  7 test case  |  Rancangan revisi 0.2</x:v>
      </x:c>
      <x:c r="B3" s="5" t="str">
        <x:v>TC-06-01 sampai TC-06-07  |  7 test case  |  Rancangan revisi 0.2</x:v>
      </x:c>
      <x:c r="C3" s="5" t="str">
        <x:v>TC-06-01 sampai TC-06-07  |  7 test case  |  Rancangan revisi 0.2</x:v>
      </x:c>
      <x:c r="D3" s="5" t="str">
        <x:v>TC-06-01 sampai TC-06-07  |  7 test case  |  Rancangan revisi 0.2</x:v>
      </x:c>
      <x:c r="E3" s="5" t="str">
        <x:v>TC-06-01 sampai TC-06-07  |  7 test case  |  Rancangan revisi 0.2</x:v>
      </x:c>
      <x:c r="F3" s="5" t="str">
        <x:v>TC-06-01 sampai TC-06-07  |  7 test case  |  Rancangan revisi 0.2</x:v>
      </x:c>
      <x:c r="G3" s="5" t="str">
        <x:v>TC-06-01 sampai TC-06-07  |  7 test case  |  Rancangan revisi 0.2</x:v>
      </x:c>
      <x:c r="H3" s="5" t="str">
        <x:v>TC-06-01 sampai TC-06-07  |  7 test case  |  Rancangan revisi 0.2</x:v>
      </x:c>
      <x:c r="I3" s="5" t="str">
        <x:v>TC-06-01 sampai TC-06-07  |  7 test case  |  Rancangan revisi 0.2</x:v>
      </x:c>
      <x:c r="J3" s="5" t="str">
        <x:v>TC-06-01 sampai TC-06-07  |  7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Interaksi forum</x:v>
      </x:c>
      <x:c r="D5" s="3" t="str">
        <x:v>Interaksi forum</x:v>
      </x:c>
      <x:c r="E5" s="3" t="str">
        <x:v>Interaksi forum</x:v>
      </x:c>
      <x:c r="F5" s="3" t="str">
        <x:v>Interaksi forum</x:v>
      </x:c>
      <x:c r="G5" s="7" t="str">
        <x:v>Scenario ID</x:v>
      </x:c>
      <x:c r="H5" s="7" t="str">
        <x:v>Scenario ID</x:v>
      </x:c>
      <x:c r="I5" s="3" t="str">
        <x:v>TS-06</x:v>
      </x:c>
      <x:c r="J5" s="3" t="str">
        <x:v>TS-06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COUNTA(A14:A20)</x:f>
        <x:v>7</x:v>
      </x:c>
      <x:c r="C11" s="13" t="str">
        <x:v>Pass</x:v>
      </x:c>
      <x:c r="D11" s="14" t="n">
        <x:f>COUNTIFS(J14:J20,"Pass")</x:f>
        <x:v>0</x:v>
      </x:c>
      <x:c r="E11" s="13" t="str">
        <x:v>Fail</x:v>
      </x:c>
      <x:c r="F11" s="14" t="n">
        <x:f>COUNTIFS(J14:J20,"Fail")</x:f>
        <x:v>0</x:v>
      </x:c>
      <x:c r="G11" s="13" t="str">
        <x:v>Blocked</x:v>
      </x:c>
      <x:c r="H11" s="14" t="n">
        <x:f>COUNTIFS(J14:J20,"Blocked")</x:f>
        <x:v>0</x:v>
      </x:c>
      <x:c r="I11" s="13" t="str">
        <x:v>Not Run</x:v>
      </x:c>
      <x:c r="J11" s="14" t="n">
        <x:f>COUNTIFS(J14:J20,"Not Run")</x:f>
        <x:v>7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TC-06-01</x:v>
      </x:c>
      <x:c r="B14" s="23" t="str">
        <x:v>TS-06
Interaksi forum</x:v>
      </x:c>
      <x:c r="C14" s="23" t="str">
        <x:v>Kategori dan detail
Prioritas: P2
Desain: Review</x:v>
      </x:c>
      <x:c r="D14" s="23" t="str">
        <x:v>Posting Umum/WTB/WTS dan komentar tersedia; dua pengguna aktif.</x:v>
      </x:c>
      <x:c r="E14" s="23" t="str">
        <x:v>1. Buka setiap kategori, cari posting, baca detail.</x:v>
      </x:c>
      <x:c r="F14" s="23" t="str">
        <x:v>Posting Umum/WTB/WTS; akun QA A/B dan guest; teks komentar valid/kosong/spasi; like milik akun uji.</x:v>
      </x:c>
      <x:c r="G14" s="23" t="str">
        <x:v>Kategori, isi, penulis, foto sesuai posting.</x:v>
      </x:c>
      <x:c r="H14" s="23" t="str">
        <x:v>Komentar dan like hanya berubah pada posting/penulis yang benar; interaksi ditolak tidak menyimpan data.</x:v>
      </x:c>
      <x:c r="I14" s="24" t="str">
        <x:v>Pengguna dapat memfilter thread forum berdasarkan kategori GENERAL, WTB, dan WTS.</x:v>
      </x:c>
      <x:c r="J14" s="25" t="str">
        <x:v>Pass</x:v>
      </x:c>
    </x:row>
    <x:row r="15" ht="100" customHeight="1">
      <x:c r="A15" s="22" t="str">
        <x:v>TC-06-02</x:v>
      </x:c>
      <x:c r="B15" s="23" t="str">
        <x:v>TS-06
Interaksi forum</x:v>
      </x:c>
      <x:c r="C15" s="23" t="str">
        <x:v>Forum kosong
Prioritas: P2
Desain: Review</x:v>
      </x:c>
      <x:c r="D15" s="23" t="str">
        <x:v>Posting Umum/WTB/WTS dan komentar tersedia; dua pengguna aktif.</x:v>
      </x:c>
      <x:c r="E15" s="23" t="str">
        <x:v>1. Cari posting yang tidak ada/buka kategori kosong.</x:v>
      </x:c>
      <x:c r="F15" s="23" t="str">
        <x:v>Posting Umum/WTB/WTS; akun QA A/B dan guest; teks komentar valid/kosong/spasi; like milik akun uji.</x:v>
      </x:c>
      <x:c r="G15" s="23" t="str">
        <x:v>Keadaan kosong jelas ditampilkan.</x:v>
      </x:c>
      <x:c r="H15" s="23" t="str">
        <x:v>Komentar dan like hanya berubah pada posting/penulis yang benar; interaksi ditolak tidak menyimpan data.</x:v>
      </x:c>
      <x:c r="I15" s="24" t="str">
        <x:v>Pencarian thread dengan kata kunci acak menampilkan status pencarian kosong tanpa crash.</x:v>
      </x:c>
      <x:c r="J15" s="25" t="str">
        <x:v>Pass</x:v>
      </x:c>
    </x:row>
    <x:row r="16" ht="100" customHeight="1">
      <x:c r="A16" s="22" t="str">
        <x:v>TC-06-03</x:v>
      </x:c>
      <x:c r="B16" s="23" t="str">
        <x:v>TS-06
Interaksi forum</x:v>
      </x:c>
      <x:c r="C16" s="23" t="str">
        <x:v>Komentar valid
Prioritas: P2
Desain: Review</x:v>
      </x:c>
      <x:c r="D16" s="23" t="str">
        <x:v>Posting Umum/WTB/WTS dan komentar tersedia; dua pengguna aktif.</x:v>
      </x:c>
      <x:c r="E16" s="23" t="str">
        <x:v>1. Kirim komentar teks pada posting yang dapat diakses.</x:v>
      </x:c>
      <x:c r="F16" s="23" t="str">
        <x:v>Posting Umum/WTB/WTS; akun QA A/B dan guest; teks komentar valid/kosong/spasi; like milik akun uji.</x:v>
      </x:c>
      <x:c r="G16" s="23" t="str">
        <x:v>Komentar tersimpan pada posting dan penulis tepat.</x:v>
      </x:c>
      <x:c r="H16" s="23" t="str">
        <x:v>Komentar dan like hanya berubah pada posting/penulis yang benar; interaksi ditolak tidak menyimpan data.</x:v>
      </x:c>
      <x:c r="I16" s="24" t="str">
        <x:v>Pengguna terautentikasi dapat melihat detail posting forum dan berinteraksi dengan tombol like dan komentar.</x:v>
      </x:c>
      <x:c r="J16" s="25" t="str">
        <x:v>Pass</x:v>
      </x:c>
    </x:row>
    <x:row r="17" ht="100" customHeight="1">
      <x:c r="A17" s="22" t="str">
        <x:v>TC-06-04</x:v>
      </x:c>
      <x:c r="B17" s="23" t="str">
        <x:v>TS-06
Interaksi forum</x:v>
      </x:c>
      <x:c r="C17" s="23" t="str">
        <x:v>Komentar kosong
Prioritas: P2
Desain: Review</x:v>
      </x:c>
      <x:c r="D17" s="23" t="str">
        <x:v>Posting Umum/WTB/WTS dan komentar tersedia; dua pengguna aktif.</x:v>
      </x:c>
      <x:c r="E17" s="23" t="str">
        <x:v>1. Kirim komentar kosong/hanya spasi.</x:v>
      </x:c>
      <x:c r="F17" s="23" t="str">
        <x:v>Posting Umum/WTB/WTS; akun QA A/B dan guest; teks komentar valid/kosong/spasi; like milik akun uji.</x:v>
      </x:c>
      <x:c r="G17" s="23" t="str">
        <x:v>Ditolak; tidak ada record kosong.</x:v>
      </x:c>
      <x:c r="H17" s="23" t="str">
        <x:v>Komentar dan like hanya berubah pada posting/penulis yang benar; interaksi ditolak tidak menyimpan data.</x:v>
      </x:c>
      <x:c r="I17" s="24"/>
      <x:c r="J17" s="25" t="str">
        <x:v>Not Run</x:v>
      </x:c>
    </x:row>
    <x:row r="18" ht="100" customHeight="1">
      <x:c r="A18" s="22" t="str">
        <x:v>TC-06-05</x:v>
      </x:c>
      <x:c r="B18" s="23" t="str">
        <x:v>TS-06
Interaksi forum</x:v>
      </x:c>
      <x:c r="C18" s="23" t="str">
        <x:v>Like posting
Prioritas: P2
Desain: Review</x:v>
      </x:c>
      <x:c r="D18" s="23" t="str">
        <x:v>Posting Umum/WTB/WTS dan komentar tersedia; dua pengguna aktif.</x:v>
      </x:c>
      <x:c r="E18" s="23" t="str">
        <x:v>1. Like posting
2. ulangi request like
3. lalu unlike.</x:v>
      </x:c>
      <x:c r="F18" s="23" t="str">
        <x:v>Posting Umum/WTB/WTS; akun QA A/B dan guest; teks komentar valid/kosong/spasi; like milik akun uji.</x:v>
      </x:c>
      <x:c r="G18" s="23" t="str">
        <x:v>Maksimal satu like per pengguna/posting; jumlah akurat; unlike menghapus like miliknya.</x:v>
      </x:c>
      <x:c r="H18" s="23" t="str">
        <x:v>Komentar dan like hanya berubah pada posting/penulis yang benar; interaksi ditolak tidak menyimpan data.</x:v>
      </x:c>
      <x:c r="I18" s="24" t="str">
        <x:v>Tombol like dan form komentar tersedia pada posting aktif bagi pengguna terdaftar.</x:v>
      </x:c>
      <x:c r="J18" s="25" t="str">
        <x:v>Pass</x:v>
      </x:c>
    </x:row>
    <x:row r="19" ht="100" customHeight="1">
      <x:c r="A19" s="22" t="str">
        <x:v>TC-06-06</x:v>
      </x:c>
      <x:c r="B19" s="23" t="str">
        <x:v>TS-06
Interaksi forum</x:v>
      </x:c>
      <x:c r="C19" s="23" t="str">
        <x:v>Like komentar
Prioritas: P2
Desain: Review</x:v>
      </x:c>
      <x:c r="D19" s="23" t="str">
        <x:v>Posting Umum/WTB/WTS dan komentar tersedia; dua pengguna aktif.</x:v>
      </x:c>
      <x:c r="E19" s="23" t="str">
        <x:v>1. Like komentar
2. ulangi request
3. lalu unlike.</x:v>
      </x:c>
      <x:c r="F19" s="23" t="str">
        <x:v>Posting Umum/WTB/WTS; akun QA A/B dan guest; teks komentar valid/kosong/spasi; like milik akun uji.</x:v>
      </x:c>
      <x:c r="G19" s="23" t="str">
        <x:v>Maksimal satu like per pengguna/komentar; tidak memengaruhi like posting.</x:v>
      </x:c>
      <x:c r="H19" s="23" t="str">
        <x:v>Komentar dan like hanya berubah pada posting/penulis yang benar; interaksi ditolak tidak menyimpan data.</x:v>
      </x:c>
      <x:c r="I19" s="24"/>
      <x:c r="J19" s="25" t="str">
        <x:v>Not Run</x:v>
      </x:c>
    </x:row>
    <x:row r="20" ht="100" customHeight="1">
      <x:c r="A20" s="22" t="str">
        <x:v>TC-06-07</x:v>
      </x:c>
      <x:c r="B20" s="23" t="str">
        <x:v>TS-06
Interaksi forum</x:v>
      </x:c>
      <x:c r="C20" s="23" t="str">
        <x:v>Interaksi tanpa sesi
Prioritas: P2
Desain: Review</x:v>
      </x:c>
      <x:c r="D20" s="23" t="str">
        <x:v>Posting Umum/WTB/WTS dan komentar tersedia; dua pengguna aktif.</x:v>
      </x:c>
      <x:c r="E20" s="23" t="str">
        <x:v>1. Kirim komentar/like tanpa login.</x:v>
      </x:c>
      <x:c r="F20" s="23" t="str">
        <x:v>Posting Umum/WTB/WTS; akun QA A/B dan guest; teks komentar valid/kosong/spasi; like milik akun uji.</x:v>
      </x:c>
      <x:c r="G20" s="23" t="str">
        <x:v>Ditolak; data tidak berubah.</x:v>
      </x:c>
      <x:c r="H20" s="23" t="str">
        <x:v>Komentar dan like hanya berubah pada posting/penulis yang benar; interaksi ditolak tidak menyimpan data.</x:v>
      </x:c>
      <x:c r="I20" s="24" t="str">
        <x:v>Tamu yang mencoba membuat posting forum dialihkan ke halaman login.</x:v>
      </x:c>
      <x:c r="J20" s="25" t="str">
        <x:v>Pass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0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Blocked"/>
    <x:cfRule type="containsText" dxfId="23" priority="4" operator="containsText" text="Not Run"/>
  </x:conditionalFormatting>
  <x:dataValidations count="1">
    <x:dataValidation type="list" sqref="J14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6e7246cfc47a1"/>
  </x:tableParts>
</x:worksheet>
</file>

<file path=xl/worksheets/sheet7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TS-07  Kelola posting forum</x:v>
      </x:c>
      <x:c r="B2" s="4" t="str">
        <x:v>TS-07  Kelola posting forum</x:v>
      </x:c>
      <x:c r="C2" s="4" t="str">
        <x:v>TS-07  Kelola posting forum</x:v>
      </x:c>
      <x:c r="D2" s="4" t="str">
        <x:v>TS-07  Kelola posting forum</x:v>
      </x:c>
      <x:c r="E2" s="4" t="str">
        <x:v>TS-07  Kelola posting forum</x:v>
      </x:c>
      <x:c r="F2" s="4" t="str">
        <x:v>TS-07  Kelola posting forum</x:v>
      </x:c>
      <x:c r="G2" s="4" t="str">
        <x:v>TS-07  Kelola posting forum</x:v>
      </x:c>
      <x:c r="H2" s="4" t="str">
        <x:v>TS-07  Kelola posting forum</x:v>
      </x:c>
      <x:c r="I2" s="4" t="str">
        <x:v>TS-07  Kelola posting forum</x:v>
      </x:c>
      <x:c r="J2" s="4" t="str">
        <x:v>TS-07  Kelola posting forum</x:v>
      </x:c>
    </x:row>
    <x:row r="3" ht="20" customHeight="1">
      <x:c r="A3" s="5" t="str">
        <x:v>TC-07-01 sampai TC-07-08  |  8 test case  |  Rancangan revisi 0.2</x:v>
      </x:c>
      <x:c r="B3" s="5" t="str">
        <x:v>TC-07-01 sampai TC-07-08  |  8 test case  |  Rancangan revisi 0.2</x:v>
      </x:c>
      <x:c r="C3" s="5" t="str">
        <x:v>TC-07-01 sampai TC-07-08  |  8 test case  |  Rancangan revisi 0.2</x:v>
      </x:c>
      <x:c r="D3" s="5" t="str">
        <x:v>TC-07-01 sampai TC-07-08  |  8 test case  |  Rancangan revisi 0.2</x:v>
      </x:c>
      <x:c r="E3" s="5" t="str">
        <x:v>TC-07-01 sampai TC-07-08  |  8 test case  |  Rancangan revisi 0.2</x:v>
      </x:c>
      <x:c r="F3" s="5" t="str">
        <x:v>TC-07-01 sampai TC-07-08  |  8 test case  |  Rancangan revisi 0.2</x:v>
      </x:c>
      <x:c r="G3" s="5" t="str">
        <x:v>TC-07-01 sampai TC-07-08  |  8 test case  |  Rancangan revisi 0.2</x:v>
      </x:c>
      <x:c r="H3" s="5" t="str">
        <x:v>TC-07-01 sampai TC-07-08  |  8 test case  |  Rancangan revisi 0.2</x:v>
      </x:c>
      <x:c r="I3" s="5" t="str">
        <x:v>TC-07-01 sampai TC-07-08  |  8 test case  |  Rancangan revisi 0.2</x:v>
      </x:c>
      <x:c r="J3" s="5" t="str">
        <x:v>TC-07-01 sampai TC-07-08  |  8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Kelola posting forum</x:v>
      </x:c>
      <x:c r="D5" s="3" t="str">
        <x:v>Kelola posting forum</x:v>
      </x:c>
      <x:c r="E5" s="3" t="str">
        <x:v>Kelola posting forum</x:v>
      </x:c>
      <x:c r="F5" s="3" t="str">
        <x:v>Kelola posting forum</x:v>
      </x:c>
      <x:c r="G5" s="7" t="str">
        <x:v>Scenario ID</x:v>
      </x:c>
      <x:c r="H5" s="7" t="str">
        <x:v>Scenario ID</x:v>
      </x:c>
      <x:c r="I5" s="3" t="str">
        <x:v>TS-07</x:v>
      </x:c>
      <x:c r="J5" s="3" t="str">
        <x:v>TS-07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COUNTA(A14:A21)</x:f>
        <x:v>8</x:v>
      </x:c>
      <x:c r="C11" s="13" t="str">
        <x:v>Pass</x:v>
      </x:c>
      <x:c r="D11" s="14" t="n">
        <x:f>COUNTIFS(J14:J21,"Pass")</x:f>
        <x:v>0</x:v>
      </x:c>
      <x:c r="E11" s="13" t="str">
        <x:v>Fail</x:v>
      </x:c>
      <x:c r="F11" s="14" t="n">
        <x:f>COUNTIFS(J14:J21,"Fail")</x:f>
        <x:v>0</x:v>
      </x:c>
      <x:c r="G11" s="13" t="str">
        <x:v>Blocked</x:v>
      </x:c>
      <x:c r="H11" s="14" t="n">
        <x:f>COUNTIFS(J14:J21,"Blocked")</x:f>
        <x:v>0</x:v>
      </x:c>
      <x:c r="I11" s="13" t="str">
        <x:v>Not Run</x:v>
      </x:c>
      <x:c r="J11" s="14" t="n">
        <x:f>COUNTIFS(J14:J21,"Not Run")</x:f>
        <x:v>8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TC-07-01</x:v>
      </x:c>
      <x:c r="B14" s="23" t="str">
        <x:v>TS-07
Kelola posting forum</x:v>
      </x:c>
      <x:c r="C14" s="23" t="str">
        <x:v>Posting semua kategori
Prioritas: P2
Desain: Review</x:v>
      </x:c>
      <x:c r="D14" s="23" t="str">
        <x:v>Pengguna A/B aktif; produk/varian relevan tersedia.</x:v>
      </x:c>
      <x:c r="E14" s="23" t="str">
        <x:v>1. Buat posting Umum, WTB, WTS dengan kolom yang sesuai.</x:v>
      </x:c>
      <x:c r="F14" s="23" t="str">
        <x:v>Posting QA milik A dan B; kategori Umum/WTB/WTS; produk/varian sah/tidak sah; berkas gambar sesuai dataset.</x:v>
      </x:c>
      <x:c r="G14" s="23" t="str">
        <x:v>Kategori/pemilik benar; relasi produk mengikuti kategori.</x:v>
      </x:c>
      <x:c r="H14" s="23" t="str">
        <x:v>Posting, kategori, foto dan pemilik sesuai input sah; validasi gagal tidak menyimpan perubahan sebagian.</x:v>
      </x:c>
      <x:c r="I14" s="24" t="str">
        <x:v>Pengguna terdaftar dapat membuat postingan forum kategori umum dan berhasil diterbitkan.</x:v>
      </x:c>
      <x:c r="J14" s="25" t="str">
        <x:v>Pass</x:v>
      </x:c>
    </x:row>
    <x:row r="15" ht="100" customHeight="1">
      <x:c r="A15" s="22" t="str">
        <x:v>TC-07-02</x:v>
      </x:c>
      <x:c r="B15" s="23" t="str">
        <x:v>TS-07
Kelola posting forum</x:v>
      </x:c>
      <x:c r="C15" s="23" t="str">
        <x:v>Ubah dan nonaktifkan
Prioritas: P2
Desain: Review</x:v>
      </x:c>
      <x:c r="D15" s="23" t="str">
        <x:v>Pengguna A/B aktif; produk/varian relevan tersedia.</x:v>
      </x:c>
      <x:c r="E15" s="23" t="str">
        <x:v>1. Ubah posting sendiri lalu nonaktifkan.</x:v>
      </x:c>
      <x:c r="F15" s="23" t="str">
        <x:v>Posting QA milik A dan B; kategori Umum/WTB/WTS; produk/varian sah/tidak sah; berkas gambar sesuai dataset.</x:v>
      </x:c>
      <x:c r="G15" s="23" t="str">
        <x:v>Perubahan berlaku; tampilan/statistik mengikuti status; snapshot lama tetap.</x:v>
      </x:c>
      <x:c r="H15" s="23" t="str">
        <x:v>Posting, kategori, foto dan pemilik sesuai input sah; validasi gagal tidak menyimpan perubahan sebagian.</x:v>
      </x:c>
      <x:c r="I15" s="24" t="str">
        <x:v>Penulis dapat mengedit judul postingan dan menutup postingan via modal konfirmasi.</x:v>
      </x:c>
      <x:c r="J15" s="25" t="str">
        <x:v>Pass</x:v>
      </x:c>
    </x:row>
    <x:row r="16" ht="107" customHeight="1">
      <x:c r="A16" s="22" t="str">
        <x:v>TC-07-03</x:v>
      </x:c>
      <x:c r="B16" s="23" t="str">
        <x:v>TS-07
Kelola posting forum</x:v>
      </x:c>
      <x:c r="C16" s="23" t="str">
        <x:v>Batas foto
Prioritas: P2
Desain: TBD</x:v>
      </x:c>
      <x:c r="D16" s="23" t="str">
        <x:v>Pengguna A/B aktif; produk/varian relevan tersedia.</x:v>
      </x:c>
      <x:c r="E16" s="23" t="str">
        <x:v>1. Buat posting dengan 0, 1, 4, dan 5 foto.</x:v>
      </x:c>
      <x:c r="F16" s="23" t="str">
        <x:v>Posting QA milik A dan B; kategori Umum/WTB/WTS; produk/varian sah/tidak sah; berkas gambar sesuai dataset.
TBD: lengkapi aturan/data yang belum disahkan sebelum menjalankan kasus ini.</x:v>
      </x:c>
      <x:c r="G16" s="23" t="str">
        <x:v>0–4 diterima; 5 ditolak; foto pertama menjadi cover jika ada.</x:v>
      </x:c>
      <x:c r="H16" s="23" t="str">
        <x:v>Posting, kategori, foto dan pemilik sesuai input sah; validasi gagal tidak menyimpan perubahan sebagian.</x:v>
      </x:c>
      <x:c r="I16" s="24"/>
      <x:c r="J16" s="25" t="str">
        <x:v>Not Run</x:v>
      </x:c>
    </x:row>
    <x:row r="17" ht="107" customHeight="1">
      <x:c r="A17" s="22" t="str">
        <x:v>TC-07-04</x:v>
      </x:c>
      <x:c r="B17" s="23" t="str">
        <x:v>TS-07
Kelola posting forum</x:v>
      </x:c>
      <x:c r="C17" s="23" t="str">
        <x:v>Mengganti foto
Prioritas: P2
Desain: TBD</x:v>
      </x:c>
      <x:c r="D17" s="23" t="str">
        <x:v>Pengguna A/B aktif; produk/varian relevan tersedia.</x:v>
      </x:c>
      <x:c r="E17" s="23" t="str">
        <x:v>1. Pada posting 4 foto, hapus satu/tambah satu
2. coba tambah tanpa hapus.</x:v>
      </x:c>
      <x:c r="F17" s="23" t="str">
        <x:v>Posting QA milik A dan B; kategori Umum/WTB/WTS; produk/varian sah/tidak sah; berkas gambar sesuai dataset.
TBD: lengkapi aturan/data yang belum disahkan sebelum menjalankan kasus ini.</x:v>
      </x:c>
      <x:c r="G17" s="23" t="str">
        <x:v>Total maksimal 4; foto kelima ditolak.</x:v>
      </x:c>
      <x:c r="H17" s="23" t="str">
        <x:v>Posting, kategori, foto dan pemilik sesuai input sah; validasi gagal tidak menyimpan perubahan sebagian.</x:v>
      </x:c>
      <x:c r="I17" s="24"/>
      <x:c r="J17" s="25" t="str">
        <x:v>Not Run</x:v>
      </x:c>
    </x:row>
    <x:row r="18" ht="100" customHeight="1">
      <x:c r="A18" s="22" t="str">
        <x:v>TC-07-05</x:v>
      </x:c>
      <x:c r="B18" s="23" t="str">
        <x:v>TS-07
Kelola posting forum</x:v>
      </x:c>
      <x:c r="C18" s="23" t="str">
        <x:v>Kolom dan relasi salah
Prioritas: P2
Desain: Review</x:v>
      </x:c>
      <x:c r="D18" s="23" t="str">
        <x:v>Pengguna A/B aktif; produk/varian relevan tersedia.</x:v>
      </x:c>
      <x:c r="E18" s="23" t="str">
        <x:v>1. Kosongkan judul/isi/kategori wajib
2. gunakan varian tidak sah.</x:v>
      </x:c>
      <x:c r="F18" s="23" t="str">
        <x:v>Posting QA milik A dan B; kategori Umum/WTB/WTS; produk/varian sah/tidak sah; berkas gambar sesuai dataset.</x:v>
      </x:c>
      <x:c r="G18" s="23" t="str">
        <x:v>Penyimpanan ditolak dengan pesan sesuai.</x:v>
      </x:c>
      <x:c r="H18" s="23" t="str">
        <x:v>Posting, kategori, foto dan pemilik sesuai input sah; validasi gagal tidak menyimpan perubahan sebagian.</x:v>
      </x:c>
      <x:c r="I18" s="24" t="str">
        <x:v>Formulir posting menolak pengiriman jika kolom wajib tidak diisi.</x:v>
      </x:c>
      <x:c r="J18" s="25" t="str">
        <x:v>Pass</x:v>
      </x:c>
    </x:row>
    <x:row r="19" ht="100" customHeight="1">
      <x:c r="A19" s="22" t="str">
        <x:v>TC-07-06</x:v>
      </x:c>
      <x:c r="B19" s="23" t="str">
        <x:v>TS-07
Kelola posting forum</x:v>
      </x:c>
      <x:c r="C19" s="23" t="str">
        <x:v>Posting pihak lain
Prioritas: P2
Desain: Review</x:v>
      </x:c>
      <x:c r="D19" s="23" t="str">
        <x:v>Pengguna A/B aktif; produk/varian relevan tersedia.</x:v>
      </x:c>
      <x:c r="E19" s="23" t="str">
        <x:v>1. B mencoba ubah/nonaktifkan posting A lewat UI/request.</x:v>
      </x:c>
      <x:c r="F19" s="23" t="str">
        <x:v>Posting QA milik A dan B; kategori Umum/WTB/WTS; produk/varian sah/tidak sah; berkas gambar sesuai dataset.</x:v>
      </x:c>
      <x:c r="G19" s="23" t="str">
        <x:v>Ditolak; posting tidak berubah.</x:v>
      </x:c>
      <x:c r="H19" s="23" t="str">
        <x:v>Posting, kategori, foto dan pemilik sesuai input sah; validasi gagal tidak menyimpan perubahan sebagian.</x:v>
      </x:c>
      <x:c r="I19" s="24"/>
      <x:c r="J19" s="25" t="str">
        <x:v>Not Run</x:v>
      </x:c>
    </x:row>
    <x:row r="20" ht="100" customHeight="1">
      <x:c r="A20" s="22" t="str">
        <x:v>TC-07-07</x:v>
      </x:c>
      <x:c r="B20" s="23" t="str">
        <x:v>TS-07
Kelola posting forum</x:v>
      </x:c>
      <x:c r="C20" s="23" t="str">
        <x:v>Form Forum Umum
Prioritas: P2
Desain: Review</x:v>
      </x:c>
      <x:c r="D20" s="23" t="str">
        <x:v>Pengguna A/B aktif; produk/varian relevan tersedia.</x:v>
      </x:c>
      <x:c r="E20" s="23" t="str">
        <x:v>1. Pilih Umum
2. isi judul/isi diskusi yang valid
3. simpan tanpa memilih katalog atau harga transaksi.</x:v>
      </x:c>
      <x:c r="F20" s="23" t="str">
        <x:v>Posting QA milik A dan B; kategori Umum/WTB/WTS; produk/varian sah/tidak sah; berkas gambar sesuai dataset.</x:v>
      </x:c>
      <x:c r="G20" s="23" t="str">
        <x:v>Diskusi berhasil dibuat; kolom transaksi tidak diwajibkan untuk Umum; tidak terbentuk transaksi escrow.</x:v>
      </x:c>
      <x:c r="H20" s="23" t="str">
        <x:v>Posting, kategori, foto dan pemilik sesuai input sah; validasi gagal tidak menyimpan perubahan sebagian.</x:v>
      </x:c>
      <x:c r="I20" s="24"/>
      <x:c r="J20" s="25" t="str">
        <x:v>Not Run</x:v>
      </x:c>
    </x:row>
    <x:row r="21" ht="100" customHeight="1">
      <x:c r="A21" s="22" t="str">
        <x:v>TC-07-08</x:v>
      </x:c>
      <x:c r="B21" s="23" t="str">
        <x:v>TS-07
Kelola posting forum</x:v>
      </x:c>
      <x:c r="C21" s="23" t="str">
        <x:v>Perpindahan kategori
Prioritas: P2
Desain: Review</x:v>
      </x:c>
      <x:c r="D21" s="23" t="str">
        <x:v>Pengguna A/B aktif; produk/varian relevan tersedia.</x:v>
      </x:c>
      <x:c r="E21" s="23" t="str">
        <x:v>1. Mulai dari Umum lalu pilih WTB dan WTS pada percobaan berbeda
2. submit data sesuai tiap kategori.</x:v>
      </x:c>
      <x:c r="F21" s="23" t="str">
        <x:v>Posting QA milik A dan B; kategori Umum/WTB/WTS; produk/varian sah/tidak sah; berkas gambar sesuai dataset.</x:v>
      </x:c>
      <x:c r="G21" s="23" t="str">
        <x:v>Field dan validasi mengikuti kategori yang dipilih; perubahan form Umum tidak merusak WTB/WTS.</x:v>
      </x:c>
      <x:c r="H21" s="23" t="str">
        <x:v>Posting, kategori, foto dan pemilik sesuai input sah; validasi gagal tidak menyimpan perubahan sebagian.</x:v>
      </x:c>
      <x:c r="I21" s="24"/>
      <x:c r="J21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1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Blocked"/>
    <x:cfRule type="containsText" dxfId="27" priority="4" operator="containsText" text="Not Run"/>
  </x:conditionalFormatting>
  <x:dataValidations count="1">
    <x:dataValidation type="list" sqref="J14:J21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8f33498e64088"/>
  </x:tableParts>
</x:worksheet>
</file>

<file path=xl/worksheets/sheet8.xml><?xml version="1.0" encoding="utf-8"?>
<x:worksheet xmlns:x="http://schemas.openxmlformats.org/spreadsheetml/2006/main">
  <x:sheetPr>
    <x:tabColor rgb="FF05285F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TS-08  Pesan melalui DM</x:v>
      </x:c>
      <x:c r="B2" s="4" t="str">
        <x:v>TS-08  Pesan melalui DM</x:v>
      </x:c>
      <x:c r="C2" s="4" t="str">
        <x:v>TS-08  Pesan melalui DM</x:v>
      </x:c>
      <x:c r="D2" s="4" t="str">
        <x:v>TS-08  Pesan melalui DM</x:v>
      </x:c>
      <x:c r="E2" s="4" t="str">
        <x:v>TS-08  Pesan melalui DM</x:v>
      </x:c>
      <x:c r="F2" s="4" t="str">
        <x:v>TS-08  Pesan melalui DM</x:v>
      </x:c>
      <x:c r="G2" s="4" t="str">
        <x:v>TS-08  Pesan melalui DM</x:v>
      </x:c>
      <x:c r="H2" s="4" t="str">
        <x:v>TS-08  Pesan melalui DM</x:v>
      </x:c>
      <x:c r="I2" s="4" t="str">
        <x:v>TS-08  Pesan melalui DM</x:v>
      </x:c>
      <x:c r="J2" s="4" t="str">
        <x:v>TS-08  Pesan melalui DM</x:v>
      </x:c>
    </x:row>
    <x:row r="3" ht="20" customHeight="1">
      <x:c r="A3" s="5" t="str">
        <x:v>TC-08-01 sampai TC-08-09  |  9 test case  |  Rancangan revisi 0.2</x:v>
      </x:c>
      <x:c r="B3" s="5" t="str">
        <x:v>TC-08-01 sampai TC-08-09  |  9 test case  |  Rancangan revisi 0.2</x:v>
      </x:c>
      <x:c r="C3" s="5" t="str">
        <x:v>TC-08-01 sampai TC-08-09  |  9 test case  |  Rancangan revisi 0.2</x:v>
      </x:c>
      <x:c r="D3" s="5" t="str">
        <x:v>TC-08-01 sampai TC-08-09  |  9 test case  |  Rancangan revisi 0.2</x:v>
      </x:c>
      <x:c r="E3" s="5" t="str">
        <x:v>TC-08-01 sampai TC-08-09  |  9 test case  |  Rancangan revisi 0.2</x:v>
      </x:c>
      <x:c r="F3" s="5" t="str">
        <x:v>TC-08-01 sampai TC-08-09  |  9 test case  |  Rancangan revisi 0.2</x:v>
      </x:c>
      <x:c r="G3" s="5" t="str">
        <x:v>TC-08-01 sampai TC-08-09  |  9 test case  |  Rancangan revisi 0.2</x:v>
      </x:c>
      <x:c r="H3" s="5" t="str">
        <x:v>TC-08-01 sampai TC-08-09  |  9 test case  |  Rancangan revisi 0.2</x:v>
      </x:c>
      <x:c r="I3" s="5" t="str">
        <x:v>TC-08-01 sampai TC-08-09  |  9 test case  |  Rancangan revisi 0.2</x:v>
      </x:c>
      <x:c r="J3" s="5" t="str">
        <x:v>TC-08-01 sampai TC-08-09  |  9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Pesan melalui DM</x:v>
      </x:c>
      <x:c r="D5" s="3" t="str">
        <x:v>Pesan melalui DM</x:v>
      </x:c>
      <x:c r="E5" s="3" t="str">
        <x:v>Pesan melalui DM</x:v>
      </x:c>
      <x:c r="F5" s="3" t="str">
        <x:v>Pesan melalui DM</x:v>
      </x:c>
      <x:c r="G5" s="7" t="str">
        <x:v>Scenario ID</x:v>
      </x:c>
      <x:c r="H5" s="7" t="str">
        <x:v>Scenario ID</x:v>
      </x:c>
      <x:c r="I5" s="3" t="str">
        <x:v>TS-08</x:v>
      </x:c>
      <x:c r="J5" s="3" t="str">
        <x:v>TS-08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COUNTA(A14:A22)</x:f>
        <x:v>9</x:v>
      </x:c>
      <x:c r="C11" s="13" t="str">
        <x:v>Pass</x:v>
      </x:c>
      <x:c r="D11" s="14" t="n">
        <x:f>COUNTIFS(J14:J22,"Pass")</x:f>
        <x:v>0</x:v>
      </x:c>
      <x:c r="E11" s="13" t="str">
        <x:v>Fail</x:v>
      </x:c>
      <x:c r="F11" s="14" t="n">
        <x:f>COUNTIFS(J14:J22,"Fail")</x:f>
        <x:v>0</x:v>
      </x:c>
      <x:c r="G11" s="13" t="str">
        <x:v>Blocked</x:v>
      </x:c>
      <x:c r="H11" s="14" t="n">
        <x:f>COUNTIFS(J14:J22,"Blocked")</x:f>
        <x:v>0</x:v>
      </x:c>
      <x:c r="I11" s="13" t="str">
        <x:v>Not Run</x:v>
      </x:c>
      <x:c r="J11" s="14" t="n">
        <x:f>COUNTIFS(J14:J22,"Not Run")</x:f>
        <x:v>9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TC-08-01</x:v>
      </x:c>
      <x:c r="B14" s="23" t="str">
        <x:v>TS-08
Pesan melalui DM</x:v>
      </x:c>
      <x:c r="C14" s="23" t="str">
        <x:v>Membuka percakapan
Prioritas: P1
Desain: Review</x:v>
      </x:c>
      <x:c r="D14" s="23" t="str">
        <x:v>Dua peserta, satu nonpeserta, dan konteks listing/posting tersedia.</x:v>
      </x:c>
      <x:c r="E14" s="23" t="str">
        <x:v>1. Mulai DM dari listing dan posting forum.</x:v>
      </x:c>
      <x:c r="F14" s="23" t="str">
        <x:v>Akun QA A/B sebagai peserta dan C nonpeserta; conversation ID, listing/post ID fixture; teks pesan penanda unik per percobaan.</x:v>
      </x:c>
      <x:c r="G14" s="23" t="str">
        <x:v>Dua peserta berbeda; satu konteks asal yang tepat.</x:v>
      </x:c>
      <x:c r="H14" s="23" t="str">
        <x:v>Pesan hanya tersimpan pada percakapan dan pengirim yang benar. Nonpeserta tidak membaca/mengirim; DM tidak memfinalkan transaksi.</x:v>
      </x:c>
      <x:c r="I14" s="24" t="str">
        <x:v>Pembeli dapat memulai percakapan negosiasi dari posting forum dan terdaftar di inbox percakapan.</x:v>
      </x:c>
      <x:c r="J14" s="25" t="str">
        <x:v>Pass</x:v>
      </x:c>
    </x:row>
    <x:row r="15" ht="100" customHeight="1">
      <x:c r="A15" s="22" t="str">
        <x:v>TC-08-02</x:v>
      </x:c>
      <x:c r="B15" s="23" t="str">
        <x:v>TS-08
Pesan melalui DM</x:v>
      </x:c>
      <x:c r="C15" s="23" t="str">
        <x:v>Kirim baca balas
Prioritas: P1
Desain: Review</x:v>
      </x:c>
      <x:c r="D15" s="23" t="str">
        <x:v>Dua peserta, satu nonpeserta, dan konteks listing/posting tersedia.</x:v>
      </x:c>
      <x:c r="E15" s="23" t="str">
        <x:v>1. A mengirim
2. B membaca dan membalas.</x:v>
      </x:c>
      <x:c r="F15" s="23" t="str">
        <x:v>Akun QA A/B sebagai peserta dan C nonpeserta; conversation ID, listing/post ID fixture; teks pesan penanda unik per percobaan.</x:v>
      </x:c>
      <x:c r="G15" s="23" t="str">
        <x:v>Isi, pengirim, waktu, status baca tersimpan benar.</x:v>
      </x:c>
      <x:c r="H15" s="23" t="str">
        <x:v>Pesan hanya tersimpan pada percakapan dan pengirim yang benar. Nonpeserta tidak membaca/mengirim; DM tidak memfinalkan transaksi.</x:v>
      </x:c>
      <x:c r="I15" s="24" t="str">
        <x:v>Pengguna dapat mengirim pesan teks di thread percakapan dan pesan muncul pada riwayat chat.</x:v>
      </x:c>
      <x:c r="J15" s="25" t="str">
        <x:v>Pass</x:v>
      </x:c>
    </x:row>
    <x:row r="16" ht="100" customHeight="1">
      <x:c r="A16" s="22" t="str">
        <x:v>TC-08-03</x:v>
      </x:c>
      <x:c r="B16" s="23" t="str">
        <x:v>TS-08
Pesan melalui DM</x:v>
      </x:c>
      <x:c r="C16" s="23" t="str">
        <x:v>Pesan kosong
Prioritas: P1
Desain: Review</x:v>
      </x:c>
      <x:c r="D16" s="23" t="str">
        <x:v>Dua peserta, satu nonpeserta, dan konteks listing/posting tersedia.</x:v>
      </x:c>
      <x:c r="E16" s="23" t="str">
        <x:v>1. Kirim teks kosong/hanya spasi.</x:v>
      </x:c>
      <x:c r="F16" s="23" t="str">
        <x:v>Akun QA A/B sebagai peserta dan C nonpeserta; conversation ID, listing/post ID fixture; teks pesan penanda unik per percobaan.</x:v>
      </x:c>
      <x:c r="G16" s="23" t="str">
        <x:v>Ditolak tanpa pesan baru.</x:v>
      </x:c>
      <x:c r="H16" s="23" t="str">
        <x:v>Pesan hanya tersimpan pada percakapan dan pengirim yang benar. Nonpeserta tidak membaca/mengirim; DM tidak memfinalkan transaksi.</x:v>
      </x:c>
      <x:c r="I16" s="24" t="str">
        <x:v>Form chat menolak pengiriman pesan jika teks kosong tanpa membuat bubble pesan baru.</x:v>
      </x:c>
      <x:c r="J16" s="25" t="str">
        <x:v>Pass</x:v>
      </x:c>
    </x:row>
    <x:row r="17" ht="100" customHeight="1">
      <x:c r="A17" s="22" t="str">
        <x:v>TC-08-04</x:v>
      </x:c>
      <x:c r="B17" s="23" t="str">
        <x:v>TS-08
Pesan melalui DM</x:v>
      </x:c>
      <x:c r="C17" s="23" t="str">
        <x:v>Akses nonpeserta
Prioritas: P1
Desain: Review</x:v>
      </x:c>
      <x:c r="D17" s="23" t="str">
        <x:v>Dua peserta, satu nonpeserta, dan konteks listing/posting tersedia.</x:v>
      </x:c>
      <x:c r="E17" s="23" t="str">
        <x:v>1. C membuka dan mengirim pesan memakai ID percakapan tersebut.</x:v>
      </x:c>
      <x:c r="F17" s="23" t="str">
        <x:v>Akun QA A/B sebagai peserta dan C nonpeserta; conversation ID, listing/post ID fixture; teks pesan penanda unik per percobaan.</x:v>
      </x:c>
      <x:c r="G17" s="23" t="str">
        <x:v>Pembacaan/pengiriman ditolak.</x:v>
      </x:c>
      <x:c r="H17" s="23" t="str">
        <x:v>Pesan hanya tersimpan pada percakapan dan pengirim yang benar. Nonpeserta tidak membaca/mengirim; DM tidak memfinalkan transaksi.</x:v>
      </x:c>
      <x:c r="I17" s="24" t="str">
        <x:v>Pengguna pihak ketiga ditolak mengakses thread percakapan milik orang lain (403 Forbidden).</x:v>
      </x:c>
      <x:c r="J17" s="25" t="str">
        <x:v>Pass</x:v>
      </x:c>
    </x:row>
    <x:row r="18" ht="100" customHeight="1">
      <x:c r="A18" s="22" t="str">
        <x:v>TC-08-05</x:v>
      </x:c>
      <x:c r="B18" s="23" t="str">
        <x:v>TS-08
Pesan melalui DM</x:v>
      </x:c>
      <x:c r="C18" s="23" t="str">
        <x:v>DM bukan finalisasi
Prioritas: P1
Desain: Review</x:v>
      </x:c>
      <x:c r="D18" s="23" t="str">
        <x:v>Dua peserta, satu nonpeserta, dan konteks listing/posting tersedia.</x:v>
      </x:c>
      <x:c r="E18" s="23" t="str">
        <x:v>1. Kirim pesan kesepakatan/penyerahan tanpa alur formal.</x:v>
      </x:c>
      <x:c r="F18" s="23" t="str">
        <x:v>Akun QA A/B sebagai peserta dan C nonpeserta; conversation ID, listing/post ID fixture; teks pesan penanda unik per percobaan.</x:v>
      </x:c>
      <x:c r="G18" s="23" t="str">
        <x:v>Pesan tidak otomatis membuat agreement final, transaksi, atau status DELIVERED.</x:v>
      </x:c>
      <x:c r="H18" s="23" t="str">
        <x:v>Pesan hanya tersimpan pada percakapan dan pengirim yang benar. Nonpeserta tidak membaca/mengirim; DM tidak memfinalkan transaksi.</x:v>
      </x:c>
      <x:c r="I18" s="24"/>
      <x:c r="J18" s="25" t="str">
        <x:v>Not Run</x:v>
      </x:c>
    </x:row>
    <x:row r="19" ht="100" customHeight="1">
      <x:c r="A19" s="22" t="str">
        <x:v>TC-08-06</x:v>
      </x:c>
      <x:c r="B19" s="23" t="str">
        <x:v>TS-08
Pesan melalui DM</x:v>
      </x:c>
      <x:c r="C19" s="23" t="str">
        <x:v>Daftar chat mengambang
Prioritas: P2
Desain: Review</x:v>
      </x:c>
      <x:c r="D19" s="23" t="str">
        <x:v>Dua peserta, satu nonpeserta, dan konteks listing/posting tersedia.</x:v>
      </x:c>
      <x:c r="E19" s="23" t="str">
        <x:v>1. Klik ikon kanan bawah lalu pilih salah satu percakapan A-B.</x:v>
      </x:c>
      <x:c r="F19" s="23" t="str">
        <x:v>Akun QA A/B sebagai peserta dan C nonpeserta; conversation ID, listing/post ID fixture; teks pesan penanda unik per percobaan.</x:v>
      </x:c>
      <x:c r="G19" s="23" t="str">
        <x:v>Daftar percakapan terbuka; chat yang dipilih sesuai peserta; tampilan dapat ditutup lewat X tanpa tombol minus yang sudah dihapus.</x:v>
      </x:c>
      <x:c r="H19" s="23" t="str">
        <x:v>Pesan hanya tersimpan pada percakapan dan pengirim yang benar. Nonpeserta tidak membaca/mengirim; DM tidak memfinalkan transaksi.</x:v>
      </x:c>
      <x:c r="I19" s="24" t="str">
        <x:v>Widget chat mengambang (floating drawer) dapat dibuka dan ditutup menggunakan tombol X.</x:v>
      </x:c>
      <x:c r="J19" s="25" t="str">
        <x:v>Pass</x:v>
      </x:c>
    </x:row>
    <x:row r="20" ht="100" customHeight="1">
      <x:c r="A20" s="22" t="str">
        <x:v>TC-08-07</x:v>
      </x:c>
      <x:c r="B20" s="23" t="str">
        <x:v>TS-08
Pesan melalui DM</x:v>
      </x:c>
      <x:c r="C20" s="23" t="str">
        <x:v>Enter dan tombol kirim
Prioritas: P2
Desain: Review</x:v>
      </x:c>
      <x:c r="D20" s="23" t="str">
        <x:v>Dua peserta, satu nonpeserta, dan konteks listing/posting tersedia.</x:v>
      </x:c>
      <x:c r="E20" s="23" t="str">
        <x:v>1. Kirim teks unik satu kali lewat Enter
2. pada dataset lain lewat tombol kirim
3. buka ulang chat.</x:v>
      </x:c>
      <x:c r="F20" s="23" t="str">
        <x:v>Akun QA A/B sebagai peserta dan C nonpeserta; conversation ID, listing/post ID fixture; teks pesan penanda unik per percobaan.</x:v>
      </x:c>
      <x:c r="G20" s="23" t="str">
        <x:v>Masing-masing aksi membuat tepat satu pesan; pengirim dan percakapan benar; pesan bertahan setelah dibuka ulang.</x:v>
      </x:c>
      <x:c r="H20" s="23" t="str">
        <x:v>Pesan hanya tersimpan pada percakapan dan pengirim yang benar. Nonpeserta tidak membaca/mengirim; DM tidak memfinalkan transaksi.</x:v>
      </x:c>
      <x:c r="I20" s="24"/>
      <x:c r="J20" s="25" t="str">
        <x:v>Not Run</x:v>
      </x:c>
    </x:row>
    <x:row r="21" ht="100" customHeight="1">
      <x:c r="A21" s="22" t="str">
        <x:v>TC-08-08</x:v>
      </x:c>
      <x:c r="B21" s="23" t="str">
        <x:v>TS-08
Pesan melalui DM</x:v>
      </x:c>
      <x:c r="C21" s="23" t="str">
        <x:v>Konteks Forum ke DM
Prioritas: P2
Desain: Review</x:v>
      </x:c>
      <x:c r="D21" s="23" t="str">
        <x:v>Dua peserta, satu nonpeserta, dan konteks listing/posting tersedia.</x:v>
      </x:c>
      <x:c r="E21" s="23" t="str">
        <x:v>1. Dari posting milik B, A membuka chat dan mengirim teks unik
2. periksa konteks percakapan.</x:v>
      </x:c>
      <x:c r="F21" s="23" t="str">
        <x:v>Akun QA A/B sebagai peserta dan C nonpeserta; conversation ID, listing/post ID fixture; teks pesan penanda unik per percobaan.</x:v>
      </x:c>
      <x:c r="G21" s="23" t="str">
        <x:v>Chat menuju B dengan referensi posting yang tepat; tidak mengambil listing/posting milik pengguna lain.</x:v>
      </x:c>
      <x:c r="H21" s="23" t="str">
        <x:v>Pesan hanya tersimpan pada percakapan dan pengirim yang benar. Nonpeserta tidak membaca/mengirim; DM tidak memfinalkan transaksi.</x:v>
      </x:c>
      <x:c r="I21" s="24"/>
      <x:c r="J21" s="25" t="str">
        <x:v>Not Run</x:v>
      </x:c>
    </x:row>
    <x:row r="22" ht="100" customHeight="1">
      <x:c r="A22" s="22" t="str">
        <x:v>TC-08-09</x:v>
      </x:c>
      <x:c r="B22" s="23" t="str">
        <x:v>TS-08
Pesan melalui DM</x:v>
      </x:c>
      <x:c r="C22" s="23" t="str">
        <x:v>Ganti chat tanpa salah kirim
Prioritas: P1
Desain: Review</x:v>
      </x:c>
      <x:c r="D22" s="23" t="str">
        <x:v>Dua peserta, satu nonpeserta, dan konteks listing/posting tersedia.</x:v>
      </x:c>
      <x:c r="E22" s="23" t="str">
        <x:v>1. Buka A-B
2. ketik draft
3. pindah A-C
4. kirim pesan penanda dan buka kedua chat.</x:v>
      </x:c>
      <x:c r="F22" s="23" t="str">
        <x:v>Akun QA A/B sebagai peserta dan C nonpeserta; conversation ID, listing/post ID fixture; teks pesan penanda unik per percobaan.</x:v>
      </x:c>
      <x:c r="G22" s="23" t="str">
        <x:v>Pesan penanda hanya tersimpan pada percakapan tujuan aktif; draft dan histori tidak tercampur antar peserta.</x:v>
      </x:c>
      <x:c r="H22" s="23" t="str">
        <x:v>Pesan hanya tersimpan pada percakapan dan pengirim yang benar. Nonpeserta tidak membaca/mengirim; DM tidak memfinalkan transaksi.</x:v>
      </x:c>
      <x:c r="I22" s="24"/>
      <x:c r="J22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2">
    <x:cfRule type="containsText" dxfId="28" priority="1" operator="containsText" text="Pass"/>
    <x:cfRule type="containsText" dxfId="29" priority="2" operator="containsText" text="Fail"/>
    <x:cfRule type="containsText" dxfId="30" priority="3" operator="containsText" text="Blocked"/>
    <x:cfRule type="containsText" dxfId="31" priority="4" operator="containsText" text="Not Run"/>
  </x:conditionalFormatting>
  <x:dataValidations count="1">
    <x:dataValidation type="list" sqref="J14:J22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85ebe50bf8402f"/>
  </x:tableParts>
</x:worksheet>
</file>

<file path=xl/worksheets/sheet9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TS-09  Checkout marketplace</x:v>
      </x:c>
      <x:c r="B2" s="4" t="str">
        <x:v>TS-09  Checkout marketplace</x:v>
      </x:c>
      <x:c r="C2" s="4" t="str">
        <x:v>TS-09  Checkout marketplace</x:v>
      </x:c>
      <x:c r="D2" s="4" t="str">
        <x:v>TS-09  Checkout marketplace</x:v>
      </x:c>
      <x:c r="E2" s="4" t="str">
        <x:v>TS-09  Checkout marketplace</x:v>
      </x:c>
      <x:c r="F2" s="4" t="str">
        <x:v>TS-09  Checkout marketplace</x:v>
      </x:c>
      <x:c r="G2" s="4" t="str">
        <x:v>TS-09  Checkout marketplace</x:v>
      </x:c>
      <x:c r="H2" s="4" t="str">
        <x:v>TS-09  Checkout marketplace</x:v>
      </x:c>
      <x:c r="I2" s="4" t="str">
        <x:v>TS-09  Checkout marketplace</x:v>
      </x:c>
      <x:c r="J2" s="4" t="str">
        <x:v>TS-09  Checkout marketplace</x:v>
      </x:c>
    </x:row>
    <x:row r="3" ht="20" customHeight="1">
      <x:c r="A3" s="5" t="str">
        <x:v>TC-09-01 sampai TC-09-06  |  6 test case  |  Rancangan revisi 0.2</x:v>
      </x:c>
      <x:c r="B3" s="5" t="str">
        <x:v>TC-09-01 sampai TC-09-06  |  6 test case  |  Rancangan revisi 0.2</x:v>
      </x:c>
      <x:c r="C3" s="5" t="str">
        <x:v>TC-09-01 sampai TC-09-06  |  6 test case  |  Rancangan revisi 0.2</x:v>
      </x:c>
      <x:c r="D3" s="5" t="str">
        <x:v>TC-09-01 sampai TC-09-06  |  6 test case  |  Rancangan revisi 0.2</x:v>
      </x:c>
      <x:c r="E3" s="5" t="str">
        <x:v>TC-09-01 sampai TC-09-06  |  6 test case  |  Rancangan revisi 0.2</x:v>
      </x:c>
      <x:c r="F3" s="5" t="str">
        <x:v>TC-09-01 sampai TC-09-06  |  6 test case  |  Rancangan revisi 0.2</x:v>
      </x:c>
      <x:c r="G3" s="5" t="str">
        <x:v>TC-09-01 sampai TC-09-06  |  6 test case  |  Rancangan revisi 0.2</x:v>
      </x:c>
      <x:c r="H3" s="5" t="str">
        <x:v>TC-09-01 sampai TC-09-06  |  6 test case  |  Rancangan revisi 0.2</x:v>
      </x:c>
      <x:c r="I3" s="5" t="str">
        <x:v>TC-09-01 sampai TC-09-06  |  6 test case  |  Rancangan revisi 0.2</x:v>
      </x:c>
      <x:c r="J3" s="5" t="str">
        <x:v>TC-09-01 sampai TC-09-06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Checkout marketplace</x:v>
      </x:c>
      <x:c r="D5" s="3" t="str">
        <x:v>Checkout marketplace</x:v>
      </x:c>
      <x:c r="E5" s="3" t="str">
        <x:v>Checkout marketplace</x:v>
      </x:c>
      <x:c r="F5" s="3" t="str">
        <x:v>Checkout marketplace</x:v>
      </x:c>
      <x:c r="G5" s="7" t="str">
        <x:v>Scenario ID</x:v>
      </x:c>
      <x:c r="H5" s="7" t="str">
        <x:v>Scenario ID</x:v>
      </x:c>
      <x:c r="I5" s="3" t="str">
        <x:v>TS-09</x:v>
      </x:c>
      <x:c r="J5" s="3" t="str">
        <x:v>TS-09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TC-09-01</x:v>
      </x:c>
      <x:c r="B14" s="23" t="str">
        <x:v>TS-09
Checkout marketplace</x:v>
      </x:c>
      <x:c r="C14" s="23" t="str">
        <x:v>Checkout valid
Prioritas: P1
Desain: Review</x:v>
      </x:c>
      <x:c r="D14" s="23" t="str">
        <x:v>Listing aktif; Buyer dan Seller berbeda; payout Seller valid; tabel fee yang disahkan tersedia.</x:v>
      </x:c>
      <x:c r="E14" s="23" t="str">
        <x:v>1. Pilih listing aktif Rp1.000.000.
2. Periksa harga dan fee Rp10.000.
3. Setujui sekali.</x:v>
      </x:c>
      <x:c r="F14" s="23" t="str">
        <x:v>Buyer QA A dan Seller B; listing aktif, tujuan payout valid/tidak tersedia; snapshot harga dan fee service.
Nilai khusus: Rp1.000.000.; Rp10.000..</x:v>
      </x:c>
      <x:c r="G14" s="23" t="str">
        <x:v>Agreement final dan satu transaksi WAITING_PAYMENT; Buyer total Rp1.010.000 dan Seller net Rp1.000.000 menurut alokasi Marketplace dalam dokumen sumber. Tanpa pilihan EX/INC dan tanpa persetujuan ulang Seller.</x:v>
      </x:c>
      <x:c r="H14" s="23" t="str">
        <x:v>Checkout sah membuat satu transaksi; batal/ilegal tidak memfinalkan. Nominal mengikuti snapshot server.</x:v>
      </x:c>
      <x:c r="I14" s="24"/>
      <x:c r="J14" s="25" t="str">
        <x:v>Not Run</x:v>
      </x:c>
    </x:row>
    <x:row r="15" ht="100" customHeight="1">
      <x:c r="A15" s="22" t="str">
        <x:v>TC-09-02</x:v>
      </x:c>
      <x:c r="B15" s="23" t="str">
        <x:v>TS-09
Checkout marketplace</x:v>
      </x:c>
      <x:c r="C15" s="23" t="str">
        <x:v>Buyer tidak setuju
Prioritas: P1
Desain: Review</x:v>
      </x:c>
      <x:c r="D15" s="23" t="str">
        <x:v>Listing aktif; Buyer dan Seller berbeda; payout Seller valid; tabel fee yang disahkan tersedia.</x:v>
      </x:c>
      <x:c r="E15" s="23" t="str">
        <x:v>1. Buka ringkasan lalu batalkan sebelum menyetujui.</x:v>
      </x:c>
      <x:c r="F15" s="23" t="str">
        <x:v>Buyer QA A dan Seller B; listing aktif, tujuan payout valid/tidak tersedia; snapshot harga dan fee service.</x:v>
      </x:c>
      <x:c r="G15" s="23" t="str">
        <x:v>Tidak terbentuk transaksi final.</x:v>
      </x:c>
      <x:c r="H15" s="23" t="str">
        <x:v>Checkout sah membuat satu transaksi; batal/ilegal tidak memfinalkan. Nominal mengikuti snapshot server.</x:v>
      </x:c>
      <x:c r="I15" s="24"/>
      <x:c r="J15" s="25" t="str">
        <x:v>Not Run</x:v>
      </x:c>
    </x:row>
    <x:row r="16" ht="100" customHeight="1">
      <x:c r="A16" s="22" t="str">
        <x:v>TC-09-03</x:v>
      </x:c>
      <x:c r="B16" s="23" t="str">
        <x:v>TS-09
Checkout marketplace</x:v>
      </x:c>
      <x:c r="C16" s="23" t="str">
        <x:v>Listing berubah
Prioritas: P1
Desain: Review</x:v>
      </x:c>
      <x:c r="D16" s="23" t="str">
        <x:v>Listing aktif; Buyer dan Seller berbeda; payout Seller valid; tabel fee yang disahkan tersedia.</x:v>
      </x:c>
      <x:c r="E16" s="23" t="str">
        <x:v>1. Buka checkout
2. Seller ubah/nonaktifkan listing sebelum persetujuan Buyer.</x:v>
      </x:c>
      <x:c r="F16" s="23" t="str">
        <x:v>Buyer QA A dan Seller B; listing aktif, tujuan payout valid/tidak tersedia; snapshot harga dan fee service.</x:v>
      </x:c>
      <x:c r="G16" s="23" t="str">
        <x:v>Validasi ulang; minta persetujuan rincian terbaru atau tolak; tidak diam-diam finalkan harga lama.</x:v>
      </x:c>
      <x:c r="H16" s="23" t="str">
        <x:v>Checkout sah membuat satu transaksi; batal/ilegal tidak memfinalkan. Nominal mengikuti snapshot server.</x:v>
      </x:c>
      <x:c r="I16" s="24"/>
      <x:c r="J16" s="25" t="str">
        <x:v>Not Run</x:v>
      </x:c>
    </x:row>
    <x:row r="17" ht="100" customHeight="1">
      <x:c r="A17" s="22" t="str">
        <x:v>TC-09-04</x:v>
      </x:c>
      <x:c r="B17" s="23" t="str">
        <x:v>TS-09
Checkout marketplace</x:v>
      </x:c>
      <x:c r="C17" s="23" t="str">
        <x:v>Transaksi diri sendiri
Prioritas: P1
Desain: Review</x:v>
      </x:c>
      <x:c r="D17" s="23" t="str">
        <x:v>Listing aktif; Buyer dan Seller berbeda; payout Seller valid; tabel fee yang disahkan tersedia.</x:v>
      </x:c>
      <x:c r="E17" s="23" t="str">
        <x:v>1. Pemilik listing mencoba membeli listing sendiri.</x:v>
      </x:c>
      <x:c r="F17" s="23" t="str">
        <x:v>Buyer QA A dan Seller B; listing aktif, tujuan payout valid/tidak tersedia; snapshot harga dan fee service.</x:v>
      </x:c>
      <x:c r="G17" s="23" t="str">
        <x:v>Ditolak; Buyer dan Seller berbeda.</x:v>
      </x:c>
      <x:c r="H17" s="23" t="str">
        <x:v>Checkout sah membuat satu transaksi; batal/ilegal tidak memfinalkan. Nominal mengikuti snapshot server.</x:v>
      </x:c>
      <x:c r="I17" s="24"/>
      <x:c r="J17" s="25" t="str">
        <x:v>Not Run</x:v>
      </x:c>
    </x:row>
    <x:row r="18" ht="100" customHeight="1">
      <x:c r="A18" s="22" t="str">
        <x:v>TC-09-05</x:v>
      </x:c>
      <x:c r="B18" s="23" t="str">
        <x:v>TS-09
Checkout marketplace</x:v>
      </x:c>
      <x:c r="C18" s="23" t="str">
        <x:v>Checkout berulang
Prioritas: P1
Desain: Review</x:v>
      </x:c>
      <x:c r="D18" s="23" t="str">
        <x:v>Listing aktif; Buyer dan Seller berbeda; payout Seller valid; tabel fee yang disahkan tersedia.</x:v>
      </x:c>
      <x:c r="E18" s="23" t="str">
        <x:v>1. Kirim ulang request sama/double-click.</x:v>
      </x:c>
      <x:c r="F18" s="23" t="str">
        <x:v>Buyer QA A dan Seller B; listing aktif, tujuan payout valid/tidak tersedia; snapshot harga dan fee service.</x:v>
      </x:c>
      <x:c r="G18" s="23" t="str">
        <x:v>Pengulangan request sama tidak menggandakan transaksi; pembelian baru disengaja dibedakan.</x:v>
      </x:c>
      <x:c r="H18" s="23" t="str">
        <x:v>Checkout sah membuat satu transaksi; batal/ilegal tidak memfinalkan. Nominal mengikuti snapshot server.</x:v>
      </x:c>
      <x:c r="I18" s="24"/>
      <x:c r="J18" s="25" t="str">
        <x:v>Not Run</x:v>
      </x:c>
    </x:row>
    <x:row r="19" ht="100" customHeight="1">
      <x:c r="A19" s="22" t="str">
        <x:v>TC-09-06</x:v>
      </x:c>
      <x:c r="B19" s="23" t="str">
        <x:v>TS-09
Checkout marketplace</x:v>
      </x:c>
      <x:c r="C19" s="23" t="str">
        <x:v>Payout belum tersedia
Prioritas: P1
Desain: Review</x:v>
      </x:c>
      <x:c r="D19" s="23" t="str">
        <x:v>Listing aktif; Buyer dan Seller berbeda; payout Seller valid; tabel fee yang disahkan tersedia.</x:v>
      </x:c>
      <x:c r="E19" s="23" t="str">
        <x:v>1. Coba bayar tanpa tujuan payout Seller valid.</x:v>
      </x:c>
      <x:c r="F19" s="23" t="str">
        <x:v>Buyer QA A dan Seller B; listing aktif, tujuan payout valid/tidak tersedia; snapshot harga dan fee service.</x:v>
      </x:c>
      <x:c r="G19" s="23" t="str">
        <x:v>Pembayaran belum diizinkan; kekurangan tujuan dijelaskan.</x:v>
      </x:c>
      <x:c r="H19" s="23" t="str">
        <x:v>Checkout sah membuat satu transaksi; batal/ilegal tidak memfinalkan. Nominal mengikuti snapshot server.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32" priority="1" operator="containsText" text="Pass"/>
    <x:cfRule type="containsText" dxfId="33" priority="2" operator="containsText" text="Fail"/>
    <x:cfRule type="containsText" dxfId="34" priority="3" operator="containsText" text="Blocked"/>
    <x:cfRule type="containsText" dxfId="35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3c3ef65db4802"/>
  </x:tableParts>
</x:worksheet>
</file>

<file path=xl/worksheets/sheet10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TS-10  Draft dan revisi forum</x:v>
      </x:c>
      <x:c r="B2" s="4" t="str">
        <x:v>TS-10  Draft dan revisi forum</x:v>
      </x:c>
      <x:c r="C2" s="4" t="str">
        <x:v>TS-10  Draft dan revisi forum</x:v>
      </x:c>
      <x:c r="D2" s="4" t="str">
        <x:v>TS-10  Draft dan revisi forum</x:v>
      </x:c>
      <x:c r="E2" s="4" t="str">
        <x:v>TS-10  Draft dan revisi forum</x:v>
      </x:c>
      <x:c r="F2" s="4" t="str">
        <x:v>TS-10  Draft dan revisi forum</x:v>
      </x:c>
      <x:c r="G2" s="4" t="str">
        <x:v>TS-10  Draft dan revisi forum</x:v>
      </x:c>
      <x:c r="H2" s="4" t="str">
        <x:v>TS-10  Draft dan revisi forum</x:v>
      </x:c>
      <x:c r="I2" s="4" t="str">
        <x:v>TS-10  Draft dan revisi forum</x:v>
      </x:c>
      <x:c r="J2" s="4" t="str">
        <x:v>TS-10  Draft dan revisi forum</x:v>
      </x:c>
    </x:row>
    <x:row r="3" ht="20" customHeight="1">
      <x:c r="A3" s="5" t="str">
        <x:v>TC-10-01 sampai TC-10-05  |  5 test case  |  Rancangan revisi 0.2</x:v>
      </x:c>
      <x:c r="B3" s="5" t="str">
        <x:v>TC-10-01 sampai TC-10-05  |  5 test case  |  Rancangan revisi 0.2</x:v>
      </x:c>
      <x:c r="C3" s="5" t="str">
        <x:v>TC-10-01 sampai TC-10-05  |  5 test case  |  Rancangan revisi 0.2</x:v>
      </x:c>
      <x:c r="D3" s="5" t="str">
        <x:v>TC-10-01 sampai TC-10-05  |  5 test case  |  Rancangan revisi 0.2</x:v>
      </x:c>
      <x:c r="E3" s="5" t="str">
        <x:v>TC-10-01 sampai TC-10-05  |  5 test case  |  Rancangan revisi 0.2</x:v>
      </x:c>
      <x:c r="F3" s="5" t="str">
        <x:v>TC-10-01 sampai TC-10-05  |  5 test case  |  Rancangan revisi 0.2</x:v>
      </x:c>
      <x:c r="G3" s="5" t="str">
        <x:v>TC-10-01 sampai TC-10-05  |  5 test case  |  Rancangan revisi 0.2</x:v>
      </x:c>
      <x:c r="H3" s="5" t="str">
        <x:v>TC-10-01 sampai TC-10-05  |  5 test case  |  Rancangan revisi 0.2</x:v>
      </x:c>
      <x:c r="I3" s="5" t="str">
        <x:v>TC-10-01 sampai TC-10-05  |  5 test case  |  Rancangan revisi 0.2</x:v>
      </x:c>
      <x:c r="J3" s="5" t="str">
        <x:v>TC-10-01 sampai TC-10-05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Draft dan revisi forum</x:v>
      </x:c>
      <x:c r="D5" s="3" t="str">
        <x:v>Draft dan revisi forum</x:v>
      </x:c>
      <x:c r="E5" s="3" t="str">
        <x:v>Draft dan revisi forum</x:v>
      </x:c>
      <x:c r="F5" s="3" t="str">
        <x:v>Draft dan revisi forum</x:v>
      </x:c>
      <x:c r="G5" s="7" t="str">
        <x:v>Scenario ID</x:v>
      </x:c>
      <x:c r="H5" s="7" t="str">
        <x:v>Scenario ID</x:v>
      </x:c>
      <x:c r="I5" s="3" t="str">
        <x:v>TS-10</x:v>
      </x:c>
      <x:c r="J5" s="3" t="str">
        <x:v>TS-10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TC-10-01</x:v>
      </x:c>
      <x:c r="B14" s="23" t="str">
        <x:v>TS-10
Draft dan revisi forum</x:v>
      </x:c>
      <x:c r="C14" s="23" t="str">
        <x:v>Draft valid
Prioritas: P1
Desain: Review</x:v>
      </x:c>
      <x:c r="D14" s="23" t="str">
        <x:v>Dua pihak berbeda memiliki konteks forum/DM; sheet belum final.</x:v>
      </x:c>
      <x:c r="E14" s="23" t="str">
        <x:v>1. Isi pihak, item/varian, quantity, harga total, fee type, metode/durasi penyerahan.</x:v>
      </x:c>
      <x:c r="F14" s="23" t="str">
        <x:v>Dua pihak QA berbeda; posting/DM; item/varian, quantity, base_price total, mode EX/INC dan revisi draft fixture.</x:v>
      </x:c>
      <x:c r="G14" s="23" t="str">
        <x:v>Draft revisi awal terbentuk; belum dapat dibayar.</x:v>
      </x:c>
      <x:c r="H14" s="23" t="str">
        <x:v>Draft/revisi sesuai hasil; revisi lama tidak dianggap disetujui. Agreement final tetap terkunci.</x:v>
      </x:c>
      <x:c r="I14" s="24"/>
      <x:c r="J14" s="25" t="str">
        <x:v>Not Run</x:v>
      </x:c>
    </x:row>
    <x:row r="15" ht="100" customHeight="1">
      <x:c r="A15" s="22" t="str">
        <x:v>TC-10-02</x:v>
      </x:c>
      <x:c r="B15" s="23" t="str">
        <x:v>TS-10
Draft dan revisi forum</x:v>
      </x:c>
      <x:c r="C15" s="23" t="str">
        <x:v>Draft tidak valid
Prioritas: P1
Desain: Review</x:v>
      </x:c>
      <x:c r="D15" s="23" t="str">
        <x:v>Dua pihak berbeda memiliki konteks forum/DM; sheet belum final.</x:v>
      </x:c>
      <x:c r="E15" s="23" t="str">
        <x:v>1. Uji pihak sama, wajib kosong, quantity/durasi tidak positif, harga tidak sah.</x:v>
      </x:c>
      <x:c r="F15" s="23" t="str">
        <x:v>Dua pihak QA berbeda; posting/DM; item/varian, quantity, base_price total, mode EX/INC dan revisi draft fixture.</x:v>
      </x:c>
      <x:c r="G15" s="23" t="str">
        <x:v>Ditolak tanpa draft tidak konsisten.</x:v>
      </x:c>
      <x:c r="H15" s="23" t="str">
        <x:v>Draft/revisi sesuai hasil; revisi lama tidak dianggap disetujui. Agreement final tetap terkunci.</x:v>
      </x:c>
      <x:c r="I15" s="24"/>
      <x:c r="J15" s="25" t="str">
        <x:v>Not Run</x:v>
      </x:c>
    </x:row>
    <x:row r="16" ht="100" customHeight="1">
      <x:c r="A16" s="22" t="str">
        <x:v>TC-10-03</x:v>
      </x:c>
      <x:c r="B16" s="23" t="str">
        <x:v>TS-10
Draft dan revisi forum</x:v>
      </x:c>
      <x:c r="C16" s="23" t="str">
        <x:v>Revisi draft
Prioritas: P1
Desain: Review</x:v>
      </x:c>
      <x:c r="D16" s="23" t="str">
        <x:v>Dua pihak berbeda memiliki konteks forum/DM; sheet belum final.</x:v>
      </x:c>
      <x:c r="E16" s="23" t="str">
        <x:v>1. Setelah satu pihak setuju, ubah harga/rincian.</x:v>
      </x:c>
      <x:c r="F16" s="23" t="str">
        <x:v>Dua pihak QA berbeda; posting/DM; item/varian, quantity, base_price total, mode EX/INC dan revisi draft fixture.</x:v>
      </x:c>
      <x:c r="G16" s="23" t="str">
        <x:v>revision_no naik; persetujuan lama dibatalkan; perlu persetujuan revisi baru.</x:v>
      </x:c>
      <x:c r="H16" s="23" t="str">
        <x:v>Draft/revisi sesuai hasil; revisi lama tidak dianggap disetujui. Agreement final tetap terkunci.</x:v>
      </x:c>
      <x:c r="I16" s="24"/>
      <x:c r="J16" s="25" t="str">
        <x:v>Not Run</x:v>
      </x:c>
    </x:row>
    <x:row r="17" ht="100" customHeight="1">
      <x:c r="A17" s="22" t="str">
        <x:v>TC-10-04</x:v>
      </x:c>
      <x:c r="B17" s="23" t="str">
        <x:v>TS-10
Draft dan revisi forum</x:v>
      </x:c>
      <x:c r="C17" s="23" t="str">
        <x:v>Revisi final
Prioritas: P1
Desain: Review</x:v>
      </x:c>
      <x:c r="D17" s="23" t="str">
        <x:v>Dua pihak berbeda memiliki konteks forum/DM; sheet belum final.</x:v>
      </x:c>
      <x:c r="E17" s="23" t="str">
        <x:v>1. Coba ubah agreement final.</x:v>
      </x:c>
      <x:c r="F17" s="23" t="str">
        <x:v>Dua pihak QA berbeda; posting/DM; item/varian, quantity, base_price total, mode EX/INC dan revisi draft fixture.</x:v>
      </x:c>
      <x:c r="G17" s="23" t="str">
        <x:v>Rincian terkunci; snapshot tidak berubah.</x:v>
      </x:c>
      <x:c r="H17" s="23" t="str">
        <x:v>Draft/revisi sesuai hasil; revisi lama tidak dianggap disetujui. Agreement final tetap terkunci.</x:v>
      </x:c>
      <x:c r="I17" s="24"/>
      <x:c r="J17" s="25" t="str">
        <x:v>Not Run</x:v>
      </x:c>
    </x:row>
    <x:row r="18" ht="100" customHeight="1">
      <x:c r="A18" s="22" t="str">
        <x:v>TC-10-05</x:v>
      </x:c>
      <x:c r="B18" s="23" t="str">
        <x:v>TS-10
Draft dan revisi forum</x:v>
      </x:c>
      <x:c r="C18" s="23" t="str">
        <x:v>Harga total dan quantity
Prioritas: P1
Desain: Review</x:v>
      </x:c>
      <x:c r="D18" s="23" t="str">
        <x:v>Dua pihak berbeda memiliki konteks forum/DM; sheet belum final.</x:v>
      </x:c>
      <x:c r="E18" s="23" t="str">
        <x:v>1. Gunakan quantity 2 dan base_price total Rp100.000.</x:v>
      </x:c>
      <x:c r="F18" s="23" t="str">
        <x:v>Dua pihak QA berbeda; posting/DM; item/varian, quantity, base_price total, mode EX/INC dan revisi draft fixture.
Nilai khusus: Rp100.000..</x:v>
      </x:c>
      <x:c r="G18" s="23" t="str">
        <x:v>Harga dasar tetap Rp100.000; tidak dikalikan menjadi Rp200.000.</x:v>
      </x:c>
      <x:c r="H18" s="23" t="str">
        <x:v>Draft/revisi sesuai hasil; revisi lama tidak dianggap disetujui. Agreement final tetap terkunci.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36" priority="1" operator="containsText" text="Pass"/>
    <x:cfRule type="containsText" dxfId="37" priority="2" operator="containsText" text="Fail"/>
    <x:cfRule type="containsText" dxfId="38" priority="3" operator="containsText" text="Blocked"/>
    <x:cfRule type="containsText" dxfId="39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1b93dd4930408b"/>
  </x:tableParts>
</x:worksheet>
</file>

<file path=xl/worksheets/sheet11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TS-11  Persetujuan kesepakatan</x:v>
      </x:c>
      <x:c r="B2" s="4" t="str">
        <x:v>TS-11  Persetujuan kesepakatan</x:v>
      </x:c>
      <x:c r="C2" s="4" t="str">
        <x:v>TS-11  Persetujuan kesepakatan</x:v>
      </x:c>
      <x:c r="D2" s="4" t="str">
        <x:v>TS-11  Persetujuan kesepakatan</x:v>
      </x:c>
      <x:c r="E2" s="4" t="str">
        <x:v>TS-11  Persetujuan kesepakatan</x:v>
      </x:c>
      <x:c r="F2" s="4" t="str">
        <x:v>TS-11  Persetujuan kesepakatan</x:v>
      </x:c>
      <x:c r="G2" s="4" t="str">
        <x:v>TS-11  Persetujuan kesepakatan</x:v>
      </x:c>
      <x:c r="H2" s="4" t="str">
        <x:v>TS-11  Persetujuan kesepakatan</x:v>
      </x:c>
      <x:c r="I2" s="4" t="str">
        <x:v>TS-11  Persetujuan kesepakatan</x:v>
      </x:c>
      <x:c r="J2" s="4" t="str">
        <x:v>TS-11  Persetujuan kesepakatan</x:v>
      </x:c>
    </x:row>
    <x:row r="3" ht="20" customHeight="1">
      <x:c r="A3" s="5" t="str">
        <x:v>TC-11-01 sampai TC-11-05  |  5 test case  |  Rancangan revisi 0.2</x:v>
      </x:c>
      <x:c r="B3" s="5" t="str">
        <x:v>TC-11-01 sampai TC-11-05  |  5 test case  |  Rancangan revisi 0.2</x:v>
      </x:c>
      <x:c r="C3" s="5" t="str">
        <x:v>TC-11-01 sampai TC-11-05  |  5 test case  |  Rancangan revisi 0.2</x:v>
      </x:c>
      <x:c r="D3" s="5" t="str">
        <x:v>TC-11-01 sampai TC-11-05  |  5 test case  |  Rancangan revisi 0.2</x:v>
      </x:c>
      <x:c r="E3" s="5" t="str">
        <x:v>TC-11-01 sampai TC-11-05  |  5 test case  |  Rancangan revisi 0.2</x:v>
      </x:c>
      <x:c r="F3" s="5" t="str">
        <x:v>TC-11-01 sampai TC-11-05  |  5 test case  |  Rancangan revisi 0.2</x:v>
      </x:c>
      <x:c r="G3" s="5" t="str">
        <x:v>TC-11-01 sampai TC-11-05  |  5 test case  |  Rancangan revisi 0.2</x:v>
      </x:c>
      <x:c r="H3" s="5" t="str">
        <x:v>TC-11-01 sampai TC-11-05  |  5 test case  |  Rancangan revisi 0.2</x:v>
      </x:c>
      <x:c r="I3" s="5" t="str">
        <x:v>TC-11-01 sampai TC-11-05  |  5 test case  |  Rancangan revisi 0.2</x:v>
      </x:c>
      <x:c r="J3" s="5" t="str">
        <x:v>TC-11-01 sampai TC-11-05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Persetujuan kesepakatan</x:v>
      </x:c>
      <x:c r="D5" s="3" t="str">
        <x:v>Persetujuan kesepakatan</x:v>
      </x:c>
      <x:c r="E5" s="3" t="str">
        <x:v>Persetujuan kesepakatan</x:v>
      </x:c>
      <x:c r="F5" s="3" t="str">
        <x:v>Persetujuan kesepakatan</x:v>
      </x:c>
      <x:c r="G5" s="7" t="str">
        <x:v>Scenario ID</x:v>
      </x:c>
      <x:c r="H5" s="7" t="str">
        <x:v>Scenario ID</x:v>
      </x:c>
      <x:c r="I5" s="3" t="str">
        <x:v>TS-11</x:v>
      </x:c>
      <x:c r="J5" s="3" t="str">
        <x:v>TS-11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TC-11-01</x:v>
      </x:c>
      <x:c r="B14" s="23" t="str">
        <x:v>TS-11
Persetujuan kesepakatan</x:v>
      </x:c>
      <x:c r="C14" s="23" t="str">
        <x:v>Persetujuan kedua pihak
Prioritas: P1
Desain: Review</x:v>
      </x:c>
      <x:c r="D14" s="23" t="str">
        <x:v>Draft valid tersedia; kedua pihak ditentukan.</x:v>
      </x:c>
      <x:c r="E14" s="23" t="str">
        <x:v>1. Buyer/Seller menyetujui revisi sama
2. tujuan payout valid.</x:v>
      </x:c>
      <x:c r="F14" s="23" t="str">
        <x:v>Buyer/Seller QA, nonpeserta C; draft revisi 1 dan 2; tujuan payout sah; persetujuan tiap pihak.</x:v>
      </x:c>
      <x:c r="G14" s="23" t="str">
        <x:v>Agreement final; satu transaksi terbentuk.</x:v>
      </x:c>
      <x:c r="H14" s="23" t="str">
        <x:v>Agreement final hanya untuk persetujuan revisi yang sama; nonpeserta/request ulang tidak membuat transaksi ganda.</x:v>
      </x:c>
      <x:c r="I14" s="24"/>
      <x:c r="J14" s="25" t="str">
        <x:v>Not Run</x:v>
      </x:c>
    </x:row>
    <x:row r="15" ht="100" customHeight="1">
      <x:c r="A15" s="22" t="str">
        <x:v>TC-11-02</x:v>
      </x:c>
      <x:c r="B15" s="23" t="str">
        <x:v>TS-11
Persetujuan kesepakatan</x:v>
      </x:c>
      <x:c r="C15" s="23" t="str">
        <x:v>Satu pihak setuju
Prioritas: P1
Desain: Review</x:v>
      </x:c>
      <x:c r="D15" s="23" t="str">
        <x:v>Draft valid tersedia; kedua pihak ditentukan.</x:v>
      </x:c>
      <x:c r="E15" s="23" t="str">
        <x:v>1. Hanya Buyer atau Seller menyetujui.</x:v>
      </x:c>
      <x:c r="F15" s="23" t="str">
        <x:v>Buyer/Seller QA, nonpeserta C; draft revisi 1 dan 2; tujuan payout sah; persetujuan tiap pihak.</x:v>
      </x:c>
      <x:c r="G15" s="23" t="str">
        <x:v>Belum final; belum dapat dibayar.</x:v>
      </x:c>
      <x:c r="H15" s="23" t="str">
        <x:v>Agreement final hanya untuk persetujuan revisi yang sama; nonpeserta/request ulang tidak membuat transaksi ganda.</x:v>
      </x:c>
      <x:c r="I15" s="24"/>
      <x:c r="J15" s="25" t="str">
        <x:v>Not Run</x:v>
      </x:c>
    </x:row>
    <x:row r="16" ht="100" customHeight="1">
      <x:c r="A16" s="22" t="str">
        <x:v>TC-11-03</x:v>
      </x:c>
      <x:c r="B16" s="23" t="str">
        <x:v>TS-11
Persetujuan kesepakatan</x:v>
      </x:c>
      <x:c r="C16" s="23" t="str">
        <x:v>Penolakan
Prioritas: P1
Desain: Review</x:v>
      </x:c>
      <x:c r="D16" s="23" t="str">
        <x:v>Draft valid tersedia; kedua pihak ditentukan.</x:v>
      </x:c>
      <x:c r="E16" s="23" t="str">
        <x:v>1. Salah satu pihak menolak dan mengisi alasan sesuai form.</x:v>
      </x:c>
      <x:c r="F16" s="23" t="str">
        <x:v>Buyer/Seller QA, nonpeserta C; draft revisi 1 dan 2; tujuan payout sah; persetujuan tiap pihak.</x:v>
      </x:c>
      <x:c r="G16" s="23" t="str">
        <x:v>Status, penolak, waktu/alasan tercatat; transaksi berbayar tidak terbentuk.</x:v>
      </x:c>
      <x:c r="H16" s="23" t="str">
        <x:v>Agreement final hanya untuk persetujuan revisi yang sama; nonpeserta/request ulang tidak membuat transaksi ganda.</x:v>
      </x:c>
      <x:c r="I16" s="24"/>
      <x:c r="J16" s="25" t="str">
        <x:v>Not Run</x:v>
      </x:c>
    </x:row>
    <x:row r="17" ht="100" customHeight="1">
      <x:c r="A17" s="22" t="str">
        <x:v>TC-11-04</x:v>
      </x:c>
      <x:c r="B17" s="23" t="str">
        <x:v>TS-11
Persetujuan kesepakatan</x:v>
      </x:c>
      <x:c r="C17" s="23" t="str">
        <x:v>Revisi lama
Prioritas: P1
Desain: Review</x:v>
      </x:c>
      <x:c r="D17" s="23" t="str">
        <x:v>Draft valid tersedia; kedua pihak ditentukan.</x:v>
      </x:c>
      <x:c r="E17" s="23" t="str">
        <x:v>1. Buka revisi 1
2. revisi ke 2
3. kirim persetujuan revisi 1.</x:v>
      </x:c>
      <x:c r="F17" s="23" t="str">
        <x:v>Buyer/Seller QA, nonpeserta C; draft revisi 1 dan 2; tujuan payout sah; persetujuan tiap pihak.</x:v>
      </x:c>
      <x:c r="G17" s="23" t="str">
        <x:v>Persetujuan stale ditolak; revisi 2 tidak dianggap disetujui.</x:v>
      </x:c>
      <x:c r="H17" s="23" t="str">
        <x:v>Agreement final hanya untuk persetujuan revisi yang sama; nonpeserta/request ulang tidak membuat transaksi ganda.</x:v>
      </x:c>
      <x:c r="I17" s="24"/>
      <x:c r="J17" s="25" t="str">
        <x:v>Not Run</x:v>
      </x:c>
    </x:row>
    <x:row r="18" ht="100" customHeight="1">
      <x:c r="A18" s="22" t="str">
        <x:v>TC-11-05</x:v>
      </x:c>
      <x:c r="B18" s="23" t="str">
        <x:v>TS-11
Persetujuan kesepakatan</x:v>
      </x:c>
      <x:c r="C18" s="23" t="str">
        <x:v>Ilegal atau berulang
Prioritas: P1
Desain: Review</x:v>
      </x:c>
      <x:c r="D18" s="23" t="str">
        <x:v>Draft valid tersedia; kedua pihak ditentukan.</x:v>
      </x:c>
      <x:c r="E18" s="23" t="str">
        <x:v>1. Nonpeserta menyetujui
2. pihak sah mengirim ulang persetujuan.</x:v>
      </x:c>
      <x:c r="F18" s="23" t="str">
        <x:v>Buyer/Seller QA, nonpeserta C; draft revisi 1 dan 2; tujuan payout sah; persetujuan tiap pihak.</x:v>
      </x:c>
      <x:c r="G18" s="23" t="str">
        <x:v>Nonpeserta ditolak; request ulang tidak membuat transaksi ganda.</x:v>
      </x:c>
      <x:c r="H18" s="23" t="str">
        <x:v>Agreement final hanya untuk persetujuan revisi yang sama; nonpeserta/request ulang tidak membuat transaksi ganda.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40" priority="1" operator="containsText" text="Pass"/>
    <x:cfRule type="containsText" dxfId="41" priority="2" operator="containsText" text="Fail"/>
    <x:cfRule type="containsText" dxfId="42" priority="3" operator="containsText" text="Blocked"/>
    <x:cfRule type="containsText" dxfId="4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1fc855254140d6"/>
  </x:tableParts>
</x:worksheet>
</file>

<file path=xl/worksheets/sheet12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TS-12  Rincian agreement dan fee</x:v>
      </x:c>
      <x:c r="B2" s="4" t="str">
        <x:v>TS-12  Rincian agreement dan fee</x:v>
      </x:c>
      <x:c r="C2" s="4" t="str">
        <x:v>TS-12  Rincian agreement dan fee</x:v>
      </x:c>
      <x:c r="D2" s="4" t="str">
        <x:v>TS-12  Rincian agreement dan fee</x:v>
      </x:c>
      <x:c r="E2" s="4" t="str">
        <x:v>TS-12  Rincian agreement dan fee</x:v>
      </x:c>
      <x:c r="F2" s="4" t="str">
        <x:v>TS-12  Rincian agreement dan fee</x:v>
      </x:c>
      <x:c r="G2" s="4" t="str">
        <x:v>TS-12  Rincian agreement dan fee</x:v>
      </x:c>
      <x:c r="H2" s="4" t="str">
        <x:v>TS-12  Rincian agreement dan fee</x:v>
      </x:c>
      <x:c r="I2" s="4" t="str">
        <x:v>TS-12  Rincian agreement dan fee</x:v>
      </x:c>
      <x:c r="J2" s="4" t="str">
        <x:v>TS-12  Rincian agreement dan fee</x:v>
      </x:c>
    </x:row>
    <x:row r="3" ht="20" customHeight="1">
      <x:c r="A3" s="5" t="str">
        <x:v>TC-12-01 sampai TC-12-05  |  5 test case  |  Rancangan revisi 0.2</x:v>
      </x:c>
      <x:c r="B3" s="5" t="str">
        <x:v>TC-12-01 sampai TC-12-05  |  5 test case  |  Rancangan revisi 0.2</x:v>
      </x:c>
      <x:c r="C3" s="5" t="str">
        <x:v>TC-12-01 sampai TC-12-05  |  5 test case  |  Rancangan revisi 0.2</x:v>
      </x:c>
      <x:c r="D3" s="5" t="str">
        <x:v>TC-12-01 sampai TC-12-05  |  5 test case  |  Rancangan revisi 0.2</x:v>
      </x:c>
      <x:c r="E3" s="5" t="str">
        <x:v>TC-12-01 sampai TC-12-05  |  5 test case  |  Rancangan revisi 0.2</x:v>
      </x:c>
      <x:c r="F3" s="5" t="str">
        <x:v>TC-12-01 sampai TC-12-05  |  5 test case  |  Rancangan revisi 0.2</x:v>
      </x:c>
      <x:c r="G3" s="5" t="str">
        <x:v>TC-12-01 sampai TC-12-05  |  5 test case  |  Rancangan revisi 0.2</x:v>
      </x:c>
      <x:c r="H3" s="5" t="str">
        <x:v>TC-12-01 sampai TC-12-05  |  5 test case  |  Rancangan revisi 0.2</x:v>
      </x:c>
      <x:c r="I3" s="5" t="str">
        <x:v>TC-12-01 sampai TC-12-05  |  5 test case  |  Rancangan revisi 0.2</x:v>
      </x:c>
      <x:c r="J3" s="5" t="str">
        <x:v>TC-12-01 sampai TC-12-05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Rincian agreement dan fee</x:v>
      </x:c>
      <x:c r="D5" s="3" t="str">
        <x:v>Rincian agreement dan fee</x:v>
      </x:c>
      <x:c r="E5" s="3" t="str">
        <x:v>Rincian agreement dan fee</x:v>
      </x:c>
      <x:c r="F5" s="3" t="str">
        <x:v>Rincian agreement dan fee</x:v>
      </x:c>
      <x:c r="G5" s="7" t="str">
        <x:v>Scenario ID</x:v>
      </x:c>
      <x:c r="H5" s="7" t="str">
        <x:v>Scenario ID</x:v>
      </x:c>
      <x:c r="I5" s="3" t="str">
        <x:v>TS-12</x:v>
      </x:c>
      <x:c r="J5" s="3" t="str">
        <x:v>TS-12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TC-12-01</x:v>
      </x:c>
      <x:c r="B14" s="23" t="str">
        <x:v>TS-12
Rincian agreement dan fee</x:v>
      </x:c>
      <x:c r="C14" s="23" t="str">
        <x:v>Kelengkapan rincian
Prioritas: P1
Desain: Review</x:v>
      </x:c>
      <x:c r="D14" s="23" t="str">
        <x:v>Draft dan final tersedia. Harga dasar Rp1.000.000; fee Rp10.000 sebagai nilai aturan yang sudah dicatat.</x:v>
      </x:c>
      <x:c r="E14" s="23" t="str">
        <x:v>1. Buka agreement sebagai Buyer/Seller.</x:v>
      </x:c>
      <x:c r="F14" s="23" t="str">
        <x:v>Harga dasar Rp1.000.000 dan fee Rp10.000; Marketplace fixed, Forum EX/INC; agreement draft/final dan akun nonpihak.</x:v>
      </x:c>
      <x:c r="G14" s="23" t="str">
        <x:v>Pihak, item, varian, revisi/persetujuan, harga, fee, nominal, metode/durasi sesuai data.</x:v>
      </x:c>
      <x:c r="H14" s="23" t="str">
        <x:v>Rincian dan nominal mengikuti snapshot; perubahan sumber tidak mengubah agreement final; data privat tidak bocor.</x:v>
      </x:c>
      <x:c r="I14" s="24"/>
      <x:c r="J14" s="25" t="str">
        <x:v>Not Run</x:v>
      </x:c>
    </x:row>
    <x:row r="15" ht="100" customHeight="1">
      <x:c r="A15" s="22" t="str">
        <x:v>TC-12-02</x:v>
      </x:c>
      <x:c r="B15" s="23" t="str">
        <x:v>TS-12
Rincian agreement dan fee</x:v>
      </x:c>
      <x:c r="C15" s="23" t="str">
        <x:v>Marketplace fixed dan Forum EX
Prioritas: P1
Desain: Review</x:v>
      </x:c>
      <x:c r="D15" s="23" t="str">
        <x:v>Draft dan final tersedia. Harga dasar Rp1.000.000; fee Rp10.000 sebagai nilai aturan yang sudah dicatat.</x:v>
      </x:c>
      <x:c r="E15" s="23" t="str">
        <x:v>1. Gunakan harga dasar Rp1.000.000 dan fee Rp10.000 pada transaksi terpisah.</x:v>
      </x:c>
      <x:c r="F15" s="23" t="str">
        <x:v>Harga dasar Rp1.000.000 dan fee Rp10.000; Marketplace fixed, Forum EX/INC; agreement draft/final dan akun nonpihak.
Nilai khusus: Rp1.000.000; Rp10.000.</x:v>
      </x:c>
      <x:c r="G15" s="23" t="str">
        <x:v>Keduanya menampilkan Buyer total Rp1.010.000 dan Seller net Rp1.000.000; Marketplace tidak menampilkan pilihan EX/INC. Forum mencatat EX pada snapshot.</x:v>
      </x:c>
      <x:c r="H15" s="23" t="str">
        <x:v>Rincian dan nominal mengikuti snapshot; perubahan sumber tidak mengubah agreement final; data privat tidak bocor.</x:v>
      </x:c>
      <x:c r="I15" s="24"/>
      <x:c r="J15" s="25" t="str">
        <x:v>Not Run</x:v>
      </x:c>
    </x:row>
    <x:row r="16" ht="100" customHeight="1">
      <x:c r="A16" s="22" t="str">
        <x:v>TC-12-03</x:v>
      </x:c>
      <x:c r="B16" s="23" t="str">
        <x:v>TS-12
Rincian agreement dan fee</x:v>
      </x:c>
      <x:c r="C16" s="23" t="str">
        <x:v>Forum INC
Prioritas: P1
Desain: Review</x:v>
      </x:c>
      <x:c r="D16" s="23" t="str">
        <x:v>Draft dan final tersedia. Harga dasar Rp1.000.000; fee Rp10.000 sebagai nilai aturan yang sudah dicatat.</x:v>
      </x:c>
      <x:c r="E16" s="23" t="str">
        <x:v>1. Gunakan harga dasar Rp1.000.000 dan fee Rp10.000
2. finalkan kesepakatan kedua pihak.</x:v>
      </x:c>
      <x:c r="F16" s="23" t="str">
        <x:v>Harga dasar Rp1.000.000 dan fee Rp10.000; Marketplace fixed, Forum EX/INC; agreement draft/final dan akun nonpihak.
Nilai khusus: Rp1.000.000; Rp10.000.</x:v>
      </x:c>
      <x:c r="G16" s="23" t="str">
        <x:v>Buyer total Rp1.000.000; Seller net Rp990.000; mode INC tersimpan pada snapshot Forum.</x:v>
      </x:c>
      <x:c r="H16" s="23" t="str">
        <x:v>Rincian dan nominal mengikuti snapshot; perubahan sumber tidak mengubah agreement final; data privat tidak bocor.</x:v>
      </x:c>
      <x:c r="I16" s="24"/>
      <x:c r="J16" s="25" t="str">
        <x:v>Not Run</x:v>
      </x:c>
    </x:row>
    <x:row r="17" ht="100" customHeight="1">
      <x:c r="A17" s="22" t="str">
        <x:v>TC-12-04</x:v>
      </x:c>
      <x:c r="B17" s="23" t="str">
        <x:v>TS-12
Rincian agreement dan fee</x:v>
      </x:c>
      <x:c r="C17" s="23" t="str">
        <x:v>Snapshot tetap
Prioritas: P1
Desain: Review</x:v>
      </x:c>
      <x:c r="D17" s="23" t="str">
        <x:v>Draft dan final tersedia. Harga dasar Rp1.000.000; fee Rp10.000 sebagai nilai aturan yang sudah dicatat.</x:v>
      </x:c>
      <x:c r="E17" s="23" t="str">
        <x:v>1. Ubah listing/katalog/fee setelah agreement final.</x:v>
      </x:c>
      <x:c r="F17" s="23" t="str">
        <x:v>Harga dasar Rp1.000.000 dan fee Rp10.000; Marketplace fixed, Forum EX/INC; agreement draft/final dan akun nonpihak.</x:v>
      </x:c>
      <x:c r="G17" s="23" t="str">
        <x:v>Snapshot dan nominal lama tetap sama.</x:v>
      </x:c>
      <x:c r="H17" s="23" t="str">
        <x:v>Rincian dan nominal mengikuti snapshot; perubahan sumber tidak mengubah agreement final; data privat tidak bocor.</x:v>
      </x:c>
      <x:c r="I17" s="24"/>
      <x:c r="J17" s="25" t="str">
        <x:v>Not Run</x:v>
      </x:c>
    </x:row>
    <x:row r="18" ht="100" customHeight="1">
      <x:c r="A18" s="22" t="str">
        <x:v>TC-12-05</x:v>
      </x:c>
      <x:c r="B18" s="23" t="str">
        <x:v>TS-12
Rincian agreement dan fee</x:v>
      </x:c>
      <x:c r="C18" s="23" t="str">
        <x:v>Akses agreement
Prioritas: P1
Desain: Review</x:v>
      </x:c>
      <x:c r="D18" s="23" t="str">
        <x:v>Draft dan final tersedia. Harga dasar Rp1.000.000; fee Rp10.000 sebagai nilai aturan yang sudah dicatat.</x:v>
      </x:c>
      <x:c r="E18" s="23" t="str">
        <x:v>1. Nonpihak membuka ID agreement melalui URL/request.</x:v>
      </x:c>
      <x:c r="F18" s="23" t="str">
        <x:v>Harga dasar Rp1.000.000 dan fee Rp10.000; Marketplace fixed, Forum EX/INC; agreement draft/final dan akun nonpihak.</x:v>
      </x:c>
      <x:c r="G18" s="23" t="str">
        <x:v>Detail privat ditolak.</x:v>
      </x:c>
      <x:c r="H18" s="23" t="str">
        <x:v>Rincian dan nominal mengikuti snapshot; perubahan sumber tidak mengubah agreement final; data privat tidak bocor.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44" priority="1" operator="containsText" text="Pass"/>
    <x:cfRule type="containsText" dxfId="45" priority="2" operator="containsText" text="Fail"/>
    <x:cfRule type="containsText" dxfId="46" priority="3" operator="containsText" text="Blocked"/>
    <x:cfRule type="containsText" dxfId="47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9ff7cc6224220"/>
  </x:tableParts>
</x:worksheet>
</file>

<file path=xl/worksheets/sheet13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TS-13  Midtrans Sandbox</x:v>
      </x:c>
      <x:c r="B2" s="4" t="str">
        <x:v>TS-13  Midtrans Sandbox</x:v>
      </x:c>
      <x:c r="C2" s="4" t="str">
        <x:v>TS-13  Midtrans Sandbox</x:v>
      </x:c>
      <x:c r="D2" s="4" t="str">
        <x:v>TS-13  Midtrans Sandbox</x:v>
      </x:c>
      <x:c r="E2" s="4" t="str">
        <x:v>TS-13  Midtrans Sandbox</x:v>
      </x:c>
      <x:c r="F2" s="4" t="str">
        <x:v>TS-13  Midtrans Sandbox</x:v>
      </x:c>
      <x:c r="G2" s="4" t="str">
        <x:v>TS-13  Midtrans Sandbox</x:v>
      </x:c>
      <x:c r="H2" s="4" t="str">
        <x:v>TS-13  Midtrans Sandbox</x:v>
      </x:c>
      <x:c r="I2" s="4" t="str">
        <x:v>TS-13  Midtrans Sandbox</x:v>
      </x:c>
      <x:c r="J2" s="4" t="str">
        <x:v>TS-13  Midtrans Sandbox</x:v>
      </x:c>
    </x:row>
    <x:row r="3" ht="20" customHeight="1">
      <x:c r="A3" s="5" t="str">
        <x:v>TC-13-01 sampai TC-13-10  |  10 test case  |  Rancangan revisi 0.2</x:v>
      </x:c>
      <x:c r="B3" s="5" t="str">
        <x:v>TC-13-01 sampai TC-13-10  |  10 test case  |  Rancangan revisi 0.2</x:v>
      </x:c>
      <x:c r="C3" s="5" t="str">
        <x:v>TC-13-01 sampai TC-13-10  |  10 test case  |  Rancangan revisi 0.2</x:v>
      </x:c>
      <x:c r="D3" s="5" t="str">
        <x:v>TC-13-01 sampai TC-13-10  |  10 test case  |  Rancangan revisi 0.2</x:v>
      </x:c>
      <x:c r="E3" s="5" t="str">
        <x:v>TC-13-01 sampai TC-13-10  |  10 test case  |  Rancangan revisi 0.2</x:v>
      </x:c>
      <x:c r="F3" s="5" t="str">
        <x:v>TC-13-01 sampai TC-13-10  |  10 test case  |  Rancangan revisi 0.2</x:v>
      </x:c>
      <x:c r="G3" s="5" t="str">
        <x:v>TC-13-01 sampai TC-13-10  |  10 test case  |  Rancangan revisi 0.2</x:v>
      </x:c>
      <x:c r="H3" s="5" t="str">
        <x:v>TC-13-01 sampai TC-13-10  |  10 test case  |  Rancangan revisi 0.2</x:v>
      </x:c>
      <x:c r="I3" s="5" t="str">
        <x:v>TC-13-01 sampai TC-13-10  |  10 test case  |  Rancangan revisi 0.2</x:v>
      </x:c>
      <x:c r="J3" s="5" t="str">
        <x:v>TC-13-01 sampai TC-13-10  |  10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Midtrans Sandbox</x:v>
      </x:c>
      <x:c r="D5" s="3" t="str">
        <x:v>Midtrans Sandbox</x:v>
      </x:c>
      <x:c r="E5" s="3" t="str">
        <x:v>Midtrans Sandbox</x:v>
      </x:c>
      <x:c r="F5" s="3" t="str">
        <x:v>Midtrans Sandbox</x:v>
      </x:c>
      <x:c r="G5" s="7" t="str">
        <x:v>Scenario ID</x:v>
      </x:c>
      <x:c r="H5" s="7" t="str">
        <x:v>Scenario ID</x:v>
      </x:c>
      <x:c r="I5" s="3" t="str">
        <x:v>TS-13</x:v>
      </x:c>
      <x:c r="J5" s="3" t="str">
        <x:v>TS-13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COUNTA(A14:A23)</x:f>
        <x:v>10</x:v>
      </x:c>
      <x:c r="C11" s="13" t="str">
        <x:v>Pass</x:v>
      </x:c>
      <x:c r="D11" s="14" t="n">
        <x:f>COUNTIFS(J14:J23,"Pass")</x:f>
        <x:v>0</x:v>
      </x:c>
      <x:c r="E11" s="13" t="str">
        <x:v>Fail</x:v>
      </x:c>
      <x:c r="F11" s="14" t="n">
        <x:f>COUNTIFS(J14:J23,"Fail")</x:f>
        <x:v>0</x:v>
      </x:c>
      <x:c r="G11" s="13" t="str">
        <x:v>Blocked</x:v>
      </x:c>
      <x:c r="H11" s="14" t="n">
        <x:f>COUNTIFS(J14:J23,"Blocked")</x:f>
        <x:v>0</x:v>
      </x:c>
      <x:c r="I11" s="13" t="str">
        <x:v>Not Run</x:v>
      </x:c>
      <x:c r="J11" s="14" t="n">
        <x:f>COUNTIFS(J14:J23,"Not Run")</x:f>
        <x:v>10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TC-13-01</x:v>
      </x:c>
      <x:c r="B14" s="23" t="str">
        <x:v>TS-13
Midtrans Sandbox</x:v>
      </x:c>
      <x:c r="C14" s="23" t="str">
        <x:v>Mulai pembayaran
Prioritas: P1
Desain: Review</x:v>
      </x:c>
      <x:c r="D14" s="23" t="str">
        <x:v>Agreement final; tujuan payout valid; WAITING_PAYMENT; sandbox siap; nominal sesuai buyer_total.</x:v>
      </x:c>
      <x:c r="E14" s="23" t="str">
        <x:v>1. Buyer membuka pembayaran transaksi memenuhi syarat.</x:v>
      </x:c>
      <x:c r="F14" s="23" t="str">
        <x:v>Order Midtrans Sandbox, buyer_total dari snapshot, order_id dan payload uji sah/tidak sah; kredensial sandbox tidak dicantumkan di Excel.</x:v>
      </x:c>
      <x:c r="G14" s="23" t="str">
        <x:v>Order sandbox/nominal benar; satu record payments terkait.</x:v>
      </x:c>
      <x:c r="H14" s="23" t="str">
        <x:v>Status pembayaran hanya berubah setelah verifikasi server sah; callback ulang tidak menggandakan payment/efek bisnis.</x:v>
      </x:c>
      <x:c r="I14" s="24"/>
      <x:c r="J14" s="25" t="str">
        <x:v>Not Run</x:v>
      </x:c>
    </x:row>
    <x:row r="15" ht="100" customHeight="1">
      <x:c r="A15" s="22" t="str">
        <x:v>TC-13-02</x:v>
      </x:c>
      <x:c r="B15" s="23" t="str">
        <x:v>TS-13
Midtrans Sandbox</x:v>
      </x:c>
      <x:c r="C15" s="23" t="str">
        <x:v>Sukses terverifikasi
Prioritas: P1
Desain: Review</x:v>
      </x:c>
      <x:c r="D15" s="23" t="str">
        <x:v>Agreement final; tujuan payout valid; WAITING_PAYMENT; sandbox siap; nominal sesuai buyer_total.</x:v>
      </x:c>
      <x:c r="E15" s="23" t="str">
        <x:v>1. Selesaikan pembayaran uji
2. terima hasil terverifikasi.</x:v>
      </x:c>
      <x:c r="F15" s="23" t="str">
        <x:v>Order Midtrans Sandbox, buyer_total dari snapshot, order_id dan payload uji sah/tidak sah; kredensial sandbox tidak dicantumkan di Excel.</x:v>
      </x:c>
      <x:c r="G15" s="23" t="str">
        <x:v>Payment PAID; transaksi PAID; paid_at dan tenggat penyerahan tercatat.</x:v>
      </x:c>
      <x:c r="H15" s="23" t="str">
        <x:v>Status pembayaran hanya berubah setelah verifikasi server sah; callback ulang tidak menggandakan payment/efek bisnis.</x:v>
      </x:c>
      <x:c r="I15" s="24"/>
      <x:c r="J15" s="25" t="str">
        <x:v>Not Run</x:v>
      </x:c>
    </x:row>
    <x:row r="16" ht="100" customHeight="1">
      <x:c r="A16" s="22" t="str">
        <x:v>TC-13-03</x:v>
      </x:c>
      <x:c r="B16" s="23" t="str">
        <x:v>TS-13
Midtrans Sandbox</x:v>
      </x:c>
      <x:c r="C16" s="23" t="str">
        <x:v>Pending
Prioritas: P1
Desain: Review</x:v>
      </x:c>
      <x:c r="D16" s="23" t="str">
        <x:v>Agreement final; tujuan payout valid; WAITING_PAYMENT; sandbox siap; nominal sesuai buyer_total.</x:v>
      </x:c>
      <x:c r="E16" s="23" t="str">
        <x:v>1. Simulasikan hasil pending sah.</x:v>
      </x:c>
      <x:c r="F16" s="23" t="str">
        <x:v>Order Midtrans Sandbox, buyer_total dari snapshot, order_id dan payload uji sah/tidak sah; kredensial sandbox tidak dicantumkan di Excel.</x:v>
      </x:c>
      <x:c r="G16" s="23" t="str">
        <x:v>Belum PAID; status pending dijelaskan.</x:v>
      </x:c>
      <x:c r="H16" s="23" t="str">
        <x:v>Status pembayaran hanya berubah setelah verifikasi server sah; callback ulang tidak menggandakan payment/efek bisnis.</x:v>
      </x:c>
      <x:c r="I16" s="24"/>
      <x:c r="J16" s="25" t="str">
        <x:v>Not Run</x:v>
      </x:c>
    </x:row>
    <x:row r="17" ht="100" customHeight="1">
      <x:c r="A17" s="22" t="str">
        <x:v>TC-13-04</x:v>
      </x:c>
      <x:c r="B17" s="23" t="str">
        <x:v>TS-13
Midtrans Sandbox</x:v>
      </x:c>
      <x:c r="C17" s="23" t="str">
        <x:v>Gagal batal expired
Prioritas: P1
Desain: Review</x:v>
      </x:c>
      <x:c r="D17" s="23" t="str">
        <x:v>Agreement final; tujuan payout valid; WAITING_PAYMENT; sandbox siap; nominal sesuai buyer_total.</x:v>
      </x:c>
      <x:c r="E17" s="23" t="str">
        <x:v>1. Jalankan setiap hasil pada percobaan terpisah.</x:v>
      </x:c>
      <x:c r="F17" s="23" t="str">
        <x:v>Order Midtrans Sandbox, buyer_total dari snapshot, order_id dan payload uji sah/tidak sah; kredensial sandbox tidak dicantumkan di Excel.</x:v>
      </x:c>
      <x:c r="G17" s="23" t="str">
        <x:v>Status payment sesuai; tidak ada izin penyerahan tanpa pembayaran berhasil.</x:v>
      </x:c>
      <x:c r="H17" s="23" t="str">
        <x:v>Status pembayaran hanya berubah setelah verifikasi server sah; callback ulang tidak menggandakan payment/efek bisnis.</x:v>
      </x:c>
      <x:c r="I17" s="24"/>
      <x:c r="J17" s="25" t="str">
        <x:v>Not Run</x:v>
      </x:c>
    </x:row>
    <x:row r="18" ht="100" customHeight="1">
      <x:c r="A18" s="22" t="str">
        <x:v>TC-13-05</x:v>
      </x:c>
      <x:c r="B18" s="23" t="str">
        <x:v>TS-13
Midtrans Sandbox</x:v>
      </x:c>
      <x:c r="C18" s="23" t="str">
        <x:v>Payload tidak sah
Prioritas: P1
Desain: Review</x:v>
      </x:c>
      <x:c r="D18" s="23" t="str">
        <x:v>Agreement final; tujuan payout valid; WAITING_PAYMENT; sandbox siap; nominal sesuai buyer_total.</x:v>
      </x:c>
      <x:c r="E18" s="23" t="str">
        <x:v>1. Kirim signature/payload salah atau order tak dikenal melalui alat uji.</x:v>
      </x:c>
      <x:c r="F18" s="23" t="str">
        <x:v>Order Midtrans Sandbox, buyer_total dari snapshot, order_id dan payload uji sah/tidak sah; kredensial sandbox tidak dicantumkan di Excel.</x:v>
      </x:c>
      <x:c r="G18" s="23" t="str">
        <x:v>Tidak menjadi PAID; kesalahan tertangani tanpa bocor kredensial.</x:v>
      </x:c>
      <x:c r="H18" s="23" t="str">
        <x:v>Status pembayaran hanya berubah setelah verifikasi server sah; callback ulang tidak menggandakan payment/efek bisnis.</x:v>
      </x:c>
      <x:c r="I18" s="24"/>
      <x:c r="J18" s="25" t="str">
        <x:v>Not Run</x:v>
      </x:c>
    </x:row>
    <x:row r="19" ht="100" customHeight="1">
      <x:c r="A19" s="22" t="str">
        <x:v>TC-13-06</x:v>
      </x:c>
      <x:c r="B19" s="23" t="str">
        <x:v>TS-13
Midtrans Sandbox</x:v>
      </x:c>
      <x:c r="C19" s="23" t="str">
        <x:v>Nominal tidak cocok
Prioritas: P1
Desain: Review</x:v>
      </x:c>
      <x:c r="D19" s="23" t="str">
        <x:v>Agreement final; tujuan payout valid; WAITING_PAYMENT; sandbox siap; nominal sesuai buyer_total.</x:v>
      </x:c>
      <x:c r="E19" s="23" t="str">
        <x:v>1. Kirim hasil dengan nominal berbeda dari buyer_total.</x:v>
      </x:c>
      <x:c r="F19" s="23" t="str">
        <x:v>Order Midtrans Sandbox, buyer_total dari snapshot, order_id dan payload uji sah/tidak sah; kredensial sandbox tidak dicantumkan di Excel.</x:v>
      </x:c>
      <x:c r="G19" s="23" t="str">
        <x:v>Tidak diterima sebagai pembayaran sah.</x:v>
      </x:c>
      <x:c r="H19" s="23" t="str">
        <x:v>Status pembayaran hanya berubah setelah verifikasi server sah; callback ulang tidak menggandakan payment/efek bisnis.</x:v>
      </x:c>
      <x:c r="I19" s="24"/>
      <x:c r="J19" s="25" t="str">
        <x:v>Not Run</x:v>
      </x:c>
    </x:row>
    <x:row r="20" ht="100" customHeight="1">
      <x:c r="A20" s="22" t="str">
        <x:v>TC-13-07</x:v>
      </x:c>
      <x:c r="B20" s="23" t="str">
        <x:v>TS-13
Midtrans Sandbox</x:v>
      </x:c>
      <x:c r="C20" s="23" t="str">
        <x:v>Callback berulang
Prioritas: P1
Desain: Review</x:v>
      </x:c>
      <x:c r="D20" s="23" t="str">
        <x:v>Agreement final; tujuan payout valid; WAITING_PAYMENT; sandbox siap; nominal sesuai buyer_total.</x:v>
      </x:c>
      <x:c r="E20" s="23" t="str">
        <x:v>1. Kirim ulang callback sukses sama, termasuk bersamaan.</x:v>
      </x:c>
      <x:c r="F20" s="23" t="str">
        <x:v>Order Midtrans Sandbox, buyer_total dari snapshot, order_id dan payload uji sah/tidak sah; kredensial sandbox tidak dicantumkan di Excel.</x:v>
      </x:c>
      <x:c r="G20" s="23" t="str">
        <x:v>Satu payment/efek status; poin/notifikasi tidak ganda.</x:v>
      </x:c>
      <x:c r="H20" s="23" t="str">
        <x:v>Status pembayaran hanya berubah setelah verifikasi server sah; callback ulang tidak menggandakan payment/efek bisnis.</x:v>
      </x:c>
      <x:c r="I20" s="24"/>
      <x:c r="J20" s="25" t="str">
        <x:v>Not Run</x:v>
      </x:c>
    </x:row>
    <x:row r="21" ht="100" customHeight="1">
      <x:c r="A21" s="22" t="str">
        <x:v>TC-13-08</x:v>
      </x:c>
      <x:c r="B21" s="23" t="str">
        <x:v>TS-13
Midtrans Sandbox</x:v>
      </x:c>
      <x:c r="C21" s="23" t="str">
        <x:v>Callback tidak berurutan
Prioritas: P1
Desain: Review</x:v>
      </x:c>
      <x:c r="D21" s="23" t="str">
        <x:v>Agreement final; tujuan payout valid; WAITING_PAYMENT; sandbox siap; nominal sesuai buyer_total.</x:v>
      </x:c>
      <x:c r="E21" s="23" t="str">
        <x:v>1. Setelah sukses sah, kirim pending lama.</x:v>
      </x:c>
      <x:c r="F21" s="23" t="str">
        <x:v>Order Midtrans Sandbox, buyer_total dari snapshot, order_id dan payload uji sah/tidak sah; kredensial sandbox tidak dicantumkan di Excel.</x:v>
      </x:c>
      <x:c r="G21" s="23" t="str">
        <x:v>Status tidak turun ke pending; mengikuti transisi terverifikasi.</x:v>
      </x:c>
      <x:c r="H21" s="23" t="str">
        <x:v>Status pembayaran hanya berubah setelah verifikasi server sah; callback ulang tidak menggandakan payment/efek bisnis.</x:v>
      </x:c>
      <x:c r="I21" s="24"/>
      <x:c r="J21" s="25" t="str">
        <x:v>Not Run</x:v>
      </x:c>
    </x:row>
    <x:row r="22" ht="100" customHeight="1">
      <x:c r="A22" s="22" t="str">
        <x:v>TC-13-09</x:v>
      </x:c>
      <x:c r="B22" s="23" t="str">
        <x:v>TS-13
Midtrans Sandbox</x:v>
      </x:c>
      <x:c r="C22" s="23" t="str">
        <x:v>Manipulasi browser
Prioritas: P1
Desain: Review</x:v>
      </x:c>
      <x:c r="D22" s="23" t="str">
        <x:v>Agreement final; tujuan payout valid; WAITING_PAYMENT; sandbox siap; nominal sesuai buyer_total.</x:v>
      </x:c>
      <x:c r="E22" s="23" t="str">
        <x:v>1. Ubah return URL/status request menjadi success tanpa hasil sah.</x:v>
      </x:c>
      <x:c r="F22" s="23" t="str">
        <x:v>Order Midtrans Sandbox, buyer_total dari snapshot, order_id dan payload uji sah/tidak sah; kredensial sandbox tidak dicantumkan di Excel.</x:v>
      </x:c>
      <x:c r="G22" s="23" t="str">
        <x:v>Klaim browser tidak membuat PAID.</x:v>
      </x:c>
      <x:c r="H22" s="23" t="str">
        <x:v>Status pembayaran hanya berubah setelah verifikasi server sah; callback ulang tidak menggandakan payment/efek bisnis.</x:v>
      </x:c>
      <x:c r="I22" s="24"/>
      <x:c r="J22" s="25" t="str">
        <x:v>Not Run</x:v>
      </x:c>
    </x:row>
    <x:row r="23" ht="100" customHeight="1">
      <x:c r="A23" s="22" t="str">
        <x:v>TC-13-10</x:v>
      </x:c>
      <x:c r="B23" s="23" t="str">
        <x:v>TS-13
Midtrans Sandbox</x:v>
      </x:c>
      <x:c r="C23" s="23" t="str">
        <x:v>Tidak memenuhi syarat
Prioritas: P1
Desain: Review</x:v>
      </x:c>
      <x:c r="D23" s="23" t="str">
        <x:v>Agreement final; tujuan payout valid; WAITING_PAYMENT; sandbox siap; nominal sesuai buyer_total.</x:v>
      </x:c>
      <x:c r="E23" s="23" t="str">
        <x:v>1. Uji draft, transaksi pihak lain/terminal, dan gateway tidak tersedia.</x:v>
      </x:c>
      <x:c r="F23" s="23" t="str">
        <x:v>Order Midtrans Sandbox, buyer_total dari snapshot, order_id dan payload uji sah/tidak sah; kredensial sandbox tidak dicantumkan di Excel.</x:v>
      </x:c>
      <x:c r="G23" s="23" t="str">
        <x:v>Ilegal ditolak; gangguan tidak menghasilkan payment/status palsu.</x:v>
      </x:c>
      <x:c r="H23" s="23" t="str">
        <x:v>Status pembayaran hanya berubah setelah verifikasi server sah; callback ulang tidak menggandakan payment/efek bisnis.</x:v>
      </x:c>
      <x:c r="I23" s="24"/>
      <x:c r="J23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3">
    <x:cfRule type="containsText" dxfId="48" priority="1" operator="containsText" text="Pass"/>
    <x:cfRule type="containsText" dxfId="49" priority="2" operator="containsText" text="Fail"/>
    <x:cfRule type="containsText" dxfId="50" priority="3" operator="containsText" text="Blocked"/>
    <x:cfRule type="containsText" dxfId="51" priority="4" operator="containsText" text="Not Run"/>
  </x:conditionalFormatting>
  <x:dataValidations count="1">
    <x:dataValidation type="list" sqref="J14:J23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736a46fe8c4256"/>
  </x:tableParts>
</x:worksheet>
</file>

<file path=xl/worksheets/sheet14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TS-14  Penyerahan digital</x:v>
      </x:c>
      <x:c r="B2" s="4" t="str">
        <x:v>TS-14  Penyerahan digital</x:v>
      </x:c>
      <x:c r="C2" s="4" t="str">
        <x:v>TS-14  Penyerahan digital</x:v>
      </x:c>
      <x:c r="D2" s="4" t="str">
        <x:v>TS-14  Penyerahan digital</x:v>
      </x:c>
      <x:c r="E2" s="4" t="str">
        <x:v>TS-14  Penyerahan digital</x:v>
      </x:c>
      <x:c r="F2" s="4" t="str">
        <x:v>TS-14  Penyerahan digital</x:v>
      </x:c>
      <x:c r="G2" s="4" t="str">
        <x:v>TS-14  Penyerahan digital</x:v>
      </x:c>
      <x:c r="H2" s="4" t="str">
        <x:v>TS-14  Penyerahan digital</x:v>
      </x:c>
      <x:c r="I2" s="4" t="str">
        <x:v>TS-14  Penyerahan digital</x:v>
      </x:c>
      <x:c r="J2" s="4" t="str">
        <x:v>TS-14  Penyerahan digital</x:v>
      </x:c>
    </x:row>
    <x:row r="3" ht="20" customHeight="1">
      <x:c r="A3" s="5" t="str">
        <x:v>TC-14-01 sampai TC-14-05  |  5 test case  |  Rancangan revisi 0.2</x:v>
      </x:c>
      <x:c r="B3" s="5" t="str">
        <x:v>TC-14-01 sampai TC-14-05  |  5 test case  |  Rancangan revisi 0.2</x:v>
      </x:c>
      <x:c r="C3" s="5" t="str">
        <x:v>TC-14-01 sampai TC-14-05  |  5 test case  |  Rancangan revisi 0.2</x:v>
      </x:c>
      <x:c r="D3" s="5" t="str">
        <x:v>TC-14-01 sampai TC-14-05  |  5 test case  |  Rancangan revisi 0.2</x:v>
      </x:c>
      <x:c r="E3" s="5" t="str">
        <x:v>TC-14-01 sampai TC-14-05  |  5 test case  |  Rancangan revisi 0.2</x:v>
      </x:c>
      <x:c r="F3" s="5" t="str">
        <x:v>TC-14-01 sampai TC-14-05  |  5 test case  |  Rancangan revisi 0.2</x:v>
      </x:c>
      <x:c r="G3" s="5" t="str">
        <x:v>TC-14-01 sampai TC-14-05  |  5 test case  |  Rancangan revisi 0.2</x:v>
      </x:c>
      <x:c r="H3" s="5" t="str">
        <x:v>TC-14-01 sampai TC-14-05  |  5 test case  |  Rancangan revisi 0.2</x:v>
      </x:c>
      <x:c r="I3" s="5" t="str">
        <x:v>TC-14-01 sampai TC-14-05  |  5 test case  |  Rancangan revisi 0.2</x:v>
      </x:c>
      <x:c r="J3" s="5" t="str">
        <x:v>TC-14-01 sampai TC-14-05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Penyerahan digital</x:v>
      </x:c>
      <x:c r="D5" s="3" t="str">
        <x:v>Penyerahan digital</x:v>
      </x:c>
      <x:c r="E5" s="3" t="str">
        <x:v>Penyerahan digital</x:v>
      </x:c>
      <x:c r="F5" s="3" t="str">
        <x:v>Penyerahan digital</x:v>
      </x:c>
      <x:c r="G5" s="7" t="str">
        <x:v>Scenario ID</x:v>
      </x:c>
      <x:c r="H5" s="7" t="str">
        <x:v>Scenario ID</x:v>
      </x:c>
      <x:c r="I5" s="3" t="str">
        <x:v>TS-14</x:v>
      </x:c>
      <x:c r="J5" s="3" t="str">
        <x:v>TS-14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TC-14-01</x:v>
      </x:c>
      <x:c r="B14" s="23" t="str">
        <x:v>TS-14
Penyerahan digital</x:v>
      </x:c>
      <x:c r="C14" s="23" t="str">
        <x:v>Penyerahan valid
Prioritas: P1
Desain: Review</x:v>
      </x:c>
      <x:c r="D14" s="23" t="str">
        <x:v>Seller transaksi aktif; transaksi PAID dan bukti valid tersedia.</x:v>
      </x:c>
      <x:c r="E14" s="23" t="str">
        <x:v>1. Baca snapshot
2. isi hasil/catatan dan bukti
3. kirim.</x:v>
      </x:c>
      <x:c r="F14" s="23" t="str">
        <x:v>Seller QA B; transaksi PAID, WAITING_PAYMENT dan terminal; catatan/hasil digital serta bukti penyerahan QA.</x:v>
      </x:c>
      <x:c r="G14" s="23" t="str">
        <x:v>Tersimpan; DELIVERED; waktu/notifikasi Buyer tercatat.</x:v>
      </x:c>
      <x:c r="H14" s="23" t="str">
        <x:v>Hasil penyerahan sah tersimpan sekali pada transaksi terkait; aksi tidak sah tidak mengubah status.</x:v>
      </x:c>
      <x:c r="I14" s="24"/>
      <x:c r="J14" s="25" t="str">
        <x:v>Not Run</x:v>
      </x:c>
    </x:row>
    <x:row r="15" ht="100" customHeight="1">
      <x:c r="A15" s="22" t="str">
        <x:v>TC-14-02</x:v>
      </x:c>
      <x:c r="B15" s="23" t="str">
        <x:v>TS-14
Penyerahan digital</x:v>
      </x:c>
      <x:c r="C15" s="23" t="str">
        <x:v>Data wajib tidak lengkap
Prioritas: P1
Desain: Review</x:v>
      </x:c>
      <x:c r="D15" s="23" t="str">
        <x:v>Seller transaksi aktif; transaksi PAID dan bukti valid tersedia.</x:v>
      </x:c>
      <x:c r="E15" s="23" t="str">
        <x:v>1. Kosongkan bukti atau hasil wajib.</x:v>
      </x:c>
      <x:c r="F15" s="23" t="str">
        <x:v>Seller QA B; transaksi PAID, WAITING_PAYMENT dan terminal; catatan/hasil digital serta bukti penyerahan QA.</x:v>
      </x:c>
      <x:c r="G15" s="23" t="str">
        <x:v>Ditolak; status tetap.</x:v>
      </x:c>
      <x:c r="H15" s="23" t="str">
        <x:v>Hasil penyerahan sah tersimpan sekali pada transaksi terkait; aksi tidak sah tidak mengubah status.</x:v>
      </x:c>
      <x:c r="I15" s="24"/>
      <x:c r="J15" s="25" t="str">
        <x:v>Not Run</x:v>
      </x:c>
    </x:row>
    <x:row r="16" ht="100" customHeight="1">
      <x:c r="A16" s="22" t="str">
        <x:v>TC-14-03</x:v>
      </x:c>
      <x:c r="B16" s="23" t="str">
        <x:v>TS-14
Penyerahan digital</x:v>
      </x:c>
      <x:c r="C16" s="23" t="str">
        <x:v>Status salah
Prioritas: P1
Desain: Review</x:v>
      </x:c>
      <x:c r="D16" s="23" t="str">
        <x:v>Seller transaksi aktif; transaksi PAID dan bukti valid tersedia.</x:v>
      </x:c>
      <x:c r="E16" s="23" t="str">
        <x:v>1. Serahkan pada WAITING_PAYMENT/terminal.</x:v>
      </x:c>
      <x:c r="F16" s="23" t="str">
        <x:v>Seller QA B; transaksi PAID, WAITING_PAYMENT dan terminal; catatan/hasil digital serta bukti penyerahan QA.</x:v>
      </x:c>
      <x:c r="G16" s="23" t="str">
        <x:v>Ditolak.</x:v>
      </x:c>
      <x:c r="H16" s="23" t="str">
        <x:v>Hasil penyerahan sah tersimpan sekali pada transaksi terkait; aksi tidak sah tidak mengubah status.</x:v>
      </x:c>
      <x:c r="I16" s="24"/>
      <x:c r="J16" s="25" t="str">
        <x:v>Not Run</x:v>
      </x:c>
    </x:row>
    <x:row r="17" ht="100" customHeight="1">
      <x:c r="A17" s="22" t="str">
        <x:v>TC-14-04</x:v>
      </x:c>
      <x:c r="B17" s="23" t="str">
        <x:v>TS-14
Penyerahan digital</x:v>
      </x:c>
      <x:c r="C17" s="23" t="str">
        <x:v>Bukan Seller
Prioritas: P1
Desain: Review</x:v>
      </x:c>
      <x:c r="D17" s="23" t="str">
        <x:v>Seller transaksi aktif; transaksi PAID dan bukti valid tersedia.</x:v>
      </x:c>
      <x:c r="E17" s="23" t="str">
        <x:v>1. Buyer/nonpihak mencoba menyerahkan.</x:v>
      </x:c>
      <x:c r="F17" s="23" t="str">
        <x:v>Seller QA B; transaksi PAID, WAITING_PAYMENT dan terminal; catatan/hasil digital serta bukti penyerahan QA.</x:v>
      </x:c>
      <x:c r="G17" s="23" t="str">
        <x:v>Ditolak; hanya Seller transaksi berwenang.</x:v>
      </x:c>
      <x:c r="H17" s="23" t="str">
        <x:v>Hasil penyerahan sah tersimpan sekali pada transaksi terkait; aksi tidak sah tidak mengubah status.</x:v>
      </x:c>
      <x:c r="I17" s="24"/>
      <x:c r="J17" s="25" t="str">
        <x:v>Not Run</x:v>
      </x:c>
    </x:row>
    <x:row r="18" ht="100" customHeight="1">
      <x:c r="A18" s="22" t="str">
        <x:v>TC-14-05</x:v>
      </x:c>
      <x:c r="B18" s="23" t="str">
        <x:v>TS-14
Penyerahan digital</x:v>
      </x:c>
      <x:c r="C18" s="23" t="str">
        <x:v>Penyerahan ulang
Prioritas: P1
Desain: Review</x:v>
      </x:c>
      <x:c r="D18" s="23" t="str">
        <x:v>Seller transaksi aktif; transaksi PAID dan bukti valid tersedia.</x:v>
      </x:c>
      <x:c r="E18" s="23" t="str">
        <x:v>1. Kirim ulang request penyerahan sama.</x:v>
      </x:c>
      <x:c r="F18" s="23" t="str">
        <x:v>Seller QA B; transaksi PAID, WAITING_PAYMENT dan terminal; catatan/hasil digital serta bukti penyerahan QA.</x:v>
      </x:c>
      <x:c r="G18" s="23" t="str">
        <x:v>Tidak ada penyerahan/efek ganda.</x:v>
      </x:c>
      <x:c r="H18" s="23" t="str">
        <x:v>Hasil penyerahan sah tersimpan sekali pada transaksi terkait; aksi tidak sah tidak mengubah status.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52" priority="1" operator="containsText" text="Pass"/>
    <x:cfRule type="containsText" dxfId="53" priority="2" operator="containsText" text="Fail"/>
    <x:cfRule type="containsText" dxfId="54" priority="3" operator="containsText" text="Blocked"/>
    <x:cfRule type="containsText" dxfId="55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aca7a22f24107"/>
  </x:tableParts>
</x:worksheet>
</file>

<file path=xl/worksheets/sheet15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TS-15  Konfirmasi penerimaan</x:v>
      </x:c>
      <x:c r="B2" s="4" t="str">
        <x:v>TS-15  Konfirmasi penerimaan</x:v>
      </x:c>
      <x:c r="C2" s="4" t="str">
        <x:v>TS-15  Konfirmasi penerimaan</x:v>
      </x:c>
      <x:c r="D2" s="4" t="str">
        <x:v>TS-15  Konfirmasi penerimaan</x:v>
      </x:c>
      <x:c r="E2" s="4" t="str">
        <x:v>TS-15  Konfirmasi penerimaan</x:v>
      </x:c>
      <x:c r="F2" s="4" t="str">
        <x:v>TS-15  Konfirmasi penerimaan</x:v>
      </x:c>
      <x:c r="G2" s="4" t="str">
        <x:v>TS-15  Konfirmasi penerimaan</x:v>
      </x:c>
      <x:c r="H2" s="4" t="str">
        <x:v>TS-15  Konfirmasi penerimaan</x:v>
      </x:c>
      <x:c r="I2" s="4" t="str">
        <x:v>TS-15  Konfirmasi penerimaan</x:v>
      </x:c>
      <x:c r="J2" s="4" t="str">
        <x:v>TS-15  Konfirmasi penerimaan</x:v>
      </x:c>
    </x:row>
    <x:row r="3" ht="20" customHeight="1">
      <x:c r="A3" s="5" t="str">
        <x:v>TC-15-01 sampai TC-15-04  |  4 test case  |  Rancangan revisi 0.2</x:v>
      </x:c>
      <x:c r="B3" s="5" t="str">
        <x:v>TC-15-01 sampai TC-15-04  |  4 test case  |  Rancangan revisi 0.2</x:v>
      </x:c>
      <x:c r="C3" s="5" t="str">
        <x:v>TC-15-01 sampai TC-15-04  |  4 test case  |  Rancangan revisi 0.2</x:v>
      </x:c>
      <x:c r="D3" s="5" t="str">
        <x:v>TC-15-01 sampai TC-15-04  |  4 test case  |  Rancangan revisi 0.2</x:v>
      </x:c>
      <x:c r="E3" s="5" t="str">
        <x:v>TC-15-01 sampai TC-15-04  |  4 test case  |  Rancangan revisi 0.2</x:v>
      </x:c>
      <x:c r="F3" s="5" t="str">
        <x:v>TC-15-01 sampai TC-15-04  |  4 test case  |  Rancangan revisi 0.2</x:v>
      </x:c>
      <x:c r="G3" s="5" t="str">
        <x:v>TC-15-01 sampai TC-15-04  |  4 test case  |  Rancangan revisi 0.2</x:v>
      </x:c>
      <x:c r="H3" s="5" t="str">
        <x:v>TC-15-01 sampai TC-15-04  |  4 test case  |  Rancangan revisi 0.2</x:v>
      </x:c>
      <x:c r="I3" s="5" t="str">
        <x:v>TC-15-01 sampai TC-15-04  |  4 test case  |  Rancangan revisi 0.2</x:v>
      </x:c>
      <x:c r="J3" s="5" t="str">
        <x:v>TC-15-01 sampai TC-15-04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Konfirmasi penerimaan</x:v>
      </x:c>
      <x:c r="D5" s="3" t="str">
        <x:v>Konfirmasi penerimaan</x:v>
      </x:c>
      <x:c r="E5" s="3" t="str">
        <x:v>Konfirmasi penerimaan</x:v>
      </x:c>
      <x:c r="F5" s="3" t="str">
        <x:v>Konfirmasi penerimaan</x:v>
      </x:c>
      <x:c r="G5" s="7" t="str">
        <x:v>Scenario ID</x:v>
      </x:c>
      <x:c r="H5" s="7" t="str">
        <x:v>Scenario ID</x:v>
      </x:c>
      <x:c r="I5" s="3" t="str">
        <x:v>TS-15</x:v>
      </x:c>
      <x:c r="J5" s="3" t="str">
        <x:v>TS-15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TC-15-01</x:v>
      </x:c>
      <x:c r="B14" s="23" t="str">
        <x:v>TS-15
Konfirmasi penerimaan</x:v>
      </x:c>
      <x:c r="C14" s="23" t="str">
        <x:v>Konfirmasi valid
Prioritas: P1
Desain: Review</x:v>
      </x:c>
      <x:c r="D14" s="23" t="str">
        <x:v>Transaksi DELIVERED tersedia.</x:v>
      </x:c>
      <x:c r="E14" s="23" t="str">
        <x:v>1. Buyer memeriksa hasil lalu konfirmasi.</x:v>
      </x:c>
      <x:c r="F14" s="23" t="str">
        <x:v>Transaksi DELIVERED dan belum diserahkan; Buyer A, Seller B, nonpihak C; request konfirmasi fixture.</x:v>
      </x:c>
      <x:c r="G14" s="23" t="str">
        <x:v>CONFIRMED; confirmed_at; payout siap; belum COMPLETED.</x:v>
      </x:c>
      <x:c r="H14" s="23" t="str">
        <x:v>Konfirmasi sah tersimpan sekali; CONFIRMED dibedakan dari payout COMPLETED; aksi tidak sah tidak mengubah transaksi.</x:v>
      </x:c>
      <x:c r="I14" s="24"/>
      <x:c r="J14" s="25" t="str">
        <x:v>Not Run</x:v>
      </x:c>
    </x:row>
    <x:row r="15" ht="100" customHeight="1">
      <x:c r="A15" s="22" t="str">
        <x:v>TC-15-02</x:v>
      </x:c>
      <x:c r="B15" s="23" t="str">
        <x:v>TS-15
Konfirmasi penerimaan</x:v>
      </x:c>
      <x:c r="C15" s="23" t="str">
        <x:v>Belum diserahkan
Prioritas: P1
Desain: Review</x:v>
      </x:c>
      <x:c r="D15" s="23" t="str">
        <x:v>Transaksi DELIVERED tersedia.</x:v>
      </x:c>
      <x:c r="E15" s="23" t="str">
        <x:v>1. Konfirmasi sebelum DELIVERED.</x:v>
      </x:c>
      <x:c r="F15" s="23" t="str">
        <x:v>Transaksi DELIVERED dan belum diserahkan; Buyer A, Seller B, nonpihak C; request konfirmasi fixture.</x:v>
      </x:c>
      <x:c r="G15" s="23" t="str">
        <x:v>Ditolak.</x:v>
      </x:c>
      <x:c r="H15" s="23" t="str">
        <x:v>Konfirmasi sah tersimpan sekali; CONFIRMED dibedakan dari payout COMPLETED; aksi tidak sah tidak mengubah transaksi.</x:v>
      </x:c>
      <x:c r="I15" s="24"/>
      <x:c r="J15" s="25" t="str">
        <x:v>Not Run</x:v>
      </x:c>
    </x:row>
    <x:row r="16" ht="100" customHeight="1">
      <x:c r="A16" s="22" t="str">
        <x:v>TC-15-03</x:v>
      </x:c>
      <x:c r="B16" s="23" t="str">
        <x:v>TS-15
Konfirmasi penerimaan</x:v>
      </x:c>
      <x:c r="C16" s="23" t="str">
        <x:v>Pelaku salah
Prioritas: P1
Desain: Review</x:v>
      </x:c>
      <x:c r="D16" s="23" t="str">
        <x:v>Transaksi DELIVERED tersedia.</x:v>
      </x:c>
      <x:c r="E16" s="23" t="str">
        <x:v>1. Seller/nonpihak konfirmasi.</x:v>
      </x:c>
      <x:c r="F16" s="23" t="str">
        <x:v>Transaksi DELIVERED dan belum diserahkan; Buyer A, Seller B, nonpihak C; request konfirmasi fixture.</x:v>
      </x:c>
      <x:c r="G16" s="23" t="str">
        <x:v>Ditolak; hanya Buyer terkait.</x:v>
      </x:c>
      <x:c r="H16" s="23" t="str">
        <x:v>Konfirmasi sah tersimpan sekali; CONFIRMED dibedakan dari payout COMPLETED; aksi tidak sah tidak mengubah transaksi.</x:v>
      </x:c>
      <x:c r="I16" s="24"/>
      <x:c r="J16" s="25" t="str">
        <x:v>Not Run</x:v>
      </x:c>
    </x:row>
    <x:row r="17" ht="100" customHeight="1">
      <x:c r="A17" s="22" t="str">
        <x:v>TC-15-04</x:v>
      </x:c>
      <x:c r="B17" s="23" t="str">
        <x:v>TS-15
Konfirmasi penerimaan</x:v>
      </x:c>
      <x:c r="C17" s="23" t="str">
        <x:v>Konfirmasi ulang
Prioritas: P1
Desain: Review</x:v>
      </x:c>
      <x:c r="D17" s="23" t="str">
        <x:v>Transaksi DELIVERED tersedia.</x:v>
      </x:c>
      <x:c r="E17" s="23" t="str">
        <x:v>1. Kirim ulang setelah berhasil.</x:v>
      </x:c>
      <x:c r="F17" s="23" t="str">
        <x:v>Transaksi DELIVERED dan belum diserahkan; Buyer A, Seller B, nonpihak C; request konfirmasi fixture.</x:v>
      </x:c>
      <x:c r="G17" s="23" t="str">
        <x:v>Tidak ada perubahan/efek ganda.</x:v>
      </x:c>
      <x:c r="H17" s="23" t="str">
        <x:v>Konfirmasi sah tersimpan sekali; CONFIRMED dibedakan dari payout COMPLETED; aksi tidak sah tidak mengubah transaksi.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56" priority="1" operator="containsText" text="Pass"/>
    <x:cfRule type="containsText" dxfId="57" priority="2" operator="containsText" text="Fail"/>
    <x:cfRule type="containsText" dxfId="58" priority="3" operator="containsText" text="Blocked"/>
    <x:cfRule type="containsText" dxfId="59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7263b11314a41"/>
  </x:tableParts>
</x:worksheet>
</file>

<file path=xl/worksheets/sheet16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TS-16  Pengajuan komplain</x:v>
      </x:c>
      <x:c r="B2" s="4" t="str">
        <x:v>TS-16  Pengajuan komplain</x:v>
      </x:c>
      <x:c r="C2" s="4" t="str">
        <x:v>TS-16  Pengajuan komplain</x:v>
      </x:c>
      <x:c r="D2" s="4" t="str">
        <x:v>TS-16  Pengajuan komplain</x:v>
      </x:c>
      <x:c r="E2" s="4" t="str">
        <x:v>TS-16  Pengajuan komplain</x:v>
      </x:c>
      <x:c r="F2" s="4" t="str">
        <x:v>TS-16  Pengajuan komplain</x:v>
      </x:c>
      <x:c r="G2" s="4" t="str">
        <x:v>TS-16  Pengajuan komplain</x:v>
      </x:c>
      <x:c r="H2" s="4" t="str">
        <x:v>TS-16  Pengajuan komplain</x:v>
      </x:c>
      <x:c r="I2" s="4" t="str">
        <x:v>TS-16  Pengajuan komplain</x:v>
      </x:c>
      <x:c r="J2" s="4" t="str">
        <x:v>TS-16  Pengajuan komplain</x:v>
      </x:c>
    </x:row>
    <x:row r="3" ht="20" customHeight="1">
      <x:c r="A3" s="5" t="str">
        <x:v>TC-16-01 sampai TC-16-05  |  5 test case  |  Rancangan revisi 0.2</x:v>
      </x:c>
      <x:c r="B3" s="5" t="str">
        <x:v>TC-16-01 sampai TC-16-05  |  5 test case  |  Rancangan revisi 0.2</x:v>
      </x:c>
      <x:c r="C3" s="5" t="str">
        <x:v>TC-16-01 sampai TC-16-05  |  5 test case  |  Rancangan revisi 0.2</x:v>
      </x:c>
      <x:c r="D3" s="5" t="str">
        <x:v>TC-16-01 sampai TC-16-05  |  5 test case  |  Rancangan revisi 0.2</x:v>
      </x:c>
      <x:c r="E3" s="5" t="str">
        <x:v>TC-16-01 sampai TC-16-05  |  5 test case  |  Rancangan revisi 0.2</x:v>
      </x:c>
      <x:c r="F3" s="5" t="str">
        <x:v>TC-16-01 sampai TC-16-05  |  5 test case  |  Rancangan revisi 0.2</x:v>
      </x:c>
      <x:c r="G3" s="5" t="str">
        <x:v>TC-16-01 sampai TC-16-05  |  5 test case  |  Rancangan revisi 0.2</x:v>
      </x:c>
      <x:c r="H3" s="5" t="str">
        <x:v>TC-16-01 sampai TC-16-05  |  5 test case  |  Rancangan revisi 0.2</x:v>
      </x:c>
      <x:c r="I3" s="5" t="str">
        <x:v>TC-16-01 sampai TC-16-05  |  5 test case  |  Rancangan revisi 0.2</x:v>
      </x:c>
      <x:c r="J3" s="5" t="str">
        <x:v>TC-16-01 sampai TC-16-05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Pengajuan komplain</x:v>
      </x:c>
      <x:c r="D5" s="3" t="str">
        <x:v>Pengajuan komplain</x:v>
      </x:c>
      <x:c r="E5" s="3" t="str">
        <x:v>Pengajuan komplain</x:v>
      </x:c>
      <x:c r="F5" s="3" t="str">
        <x:v>Pengajuan komplain</x:v>
      </x:c>
      <x:c r="G5" s="7" t="str">
        <x:v>Scenario ID</x:v>
      </x:c>
      <x:c r="H5" s="7" t="str">
        <x:v>Scenario ID</x:v>
      </x:c>
      <x:c r="I5" s="3" t="str">
        <x:v>TS-16</x:v>
      </x:c>
      <x:c r="J5" s="3" t="str">
        <x:v>TS-16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TC-16-01</x:v>
      </x:c>
      <x:c r="B14" s="23" t="str">
        <x:v>TS-16
Pengajuan komplain</x:v>
      </x:c>
      <x:c r="C14" s="23" t="str">
        <x:v>Komplain valid
Prioritas: P1
Desain: Review</x:v>
      </x:c>
      <x:c r="D14" s="23" t="str">
        <x:v>Buyer terkait; tahap mengizinkan komplain; tenggat TBD.</x:v>
      </x:c>
      <x:c r="E14" s="23" t="str">
        <x:v>1. Isi alasan/bukti dalam waktu yang diizinkan.</x:v>
      </x:c>
      <x:c r="F14" s="23" t="str">
        <x:v>Buyer A dan nonpihak; transaksi pada tahap komplain/terminal; alasan teks dan berkas bukti valid/kosong.</x:v>
      </x:c>
      <x:c r="G14" s="23" t="str">
        <x:v>Satu OPEN; DISPUTED; Seller/Admin diberi tahu.</x:v>
      </x:c>
      <x:c r="H14" s="23" t="str">
        <x:v>Komplain sah mengubah transaksi sesuai kontrak dan menahan payout; pengajuan tidak sah tidak membuat kasus baru.</x:v>
      </x:c>
      <x:c r="I14" s="24"/>
      <x:c r="J14" s="25" t="str">
        <x:v>Not Run</x:v>
      </x:c>
    </x:row>
    <x:row r="15" ht="100" customHeight="1">
      <x:c r="A15" s="22" t="str">
        <x:v>TC-16-02</x:v>
      </x:c>
      <x:c r="B15" s="23" t="str">
        <x:v>TS-16
Pengajuan komplain</x:v>
      </x:c>
      <x:c r="C15" s="23" t="str">
        <x:v>Alasan atau bukti kosong
Prioritas: P1
Desain: Review</x:v>
      </x:c>
      <x:c r="D15" s="23" t="str">
        <x:v>Buyer terkait; tahap mengizinkan komplain; tenggat TBD.</x:v>
      </x:c>
      <x:c r="E15" s="23" t="str">
        <x:v>1. Kosongkan alasan/bukti bergantian.</x:v>
      </x:c>
      <x:c r="F15" s="23" t="str">
        <x:v>Buyer A dan nonpihak; transaksi pada tahap komplain/terminal; alasan teks dan berkas bukti valid/kosong.</x:v>
      </x:c>
      <x:c r="G15" s="23" t="str">
        <x:v>Ditolak; status tetap.</x:v>
      </x:c>
      <x:c r="H15" s="23" t="str">
        <x:v>Komplain sah mengubah transaksi sesuai kontrak dan menahan payout; pengajuan tidak sah tidak membuat kasus baru.</x:v>
      </x:c>
      <x:c r="I15" s="24"/>
      <x:c r="J15" s="25" t="str">
        <x:v>Not Run</x:v>
      </x:c>
    </x:row>
    <x:row r="16" ht="100" customHeight="1">
      <x:c r="A16" s="22" t="str">
        <x:v>TC-16-03</x:v>
      </x:c>
      <x:c r="B16" s="23" t="str">
        <x:v>TS-16
Pengajuan komplain</x:v>
      </x:c>
      <x:c r="C16" s="23" t="str">
        <x:v>Bukan Buyer
Prioritas: P1
Desain: Review</x:v>
      </x:c>
      <x:c r="D16" s="23" t="str">
        <x:v>Buyer terkait; tahap mengizinkan komplain; tenggat TBD.</x:v>
      </x:c>
      <x:c r="E16" s="23" t="str">
        <x:v>1. Seller/nonpihak mengajukan.</x:v>
      </x:c>
      <x:c r="F16" s="23" t="str">
        <x:v>Buyer A dan nonpihak; transaksi pada tahap komplain/terminal; alasan teks dan berkas bukti valid/kosong.</x:v>
      </x:c>
      <x:c r="G16" s="23" t="str">
        <x:v>Ditolak.</x:v>
      </x:c>
      <x:c r="H16" s="23" t="str">
        <x:v>Komplain sah mengubah transaksi sesuai kontrak dan menahan payout; pengajuan tidak sah tidak membuat kasus baru.</x:v>
      </x:c>
      <x:c r="I16" s="24"/>
      <x:c r="J16" s="25" t="str">
        <x:v>Not Run</x:v>
      </x:c>
    </x:row>
    <x:row r="17" ht="100" customHeight="1">
      <x:c r="A17" s="22" t="str">
        <x:v>TC-16-04</x:v>
      </x:c>
      <x:c r="B17" s="23" t="str">
        <x:v>TS-16
Pengajuan komplain</x:v>
      </x:c>
      <x:c r="C17" s="23" t="str">
        <x:v>Komplain ganda
Prioritas: P1
Desain: Review</x:v>
      </x:c>
      <x:c r="D17" s="23" t="str">
        <x:v>Buyer terkait; tahap mengizinkan komplain; tenggat TBD.</x:v>
      </x:c>
      <x:c r="E17" s="23" t="str">
        <x:v>1. Ajukan kembali/kirim bersamaan pada transaksi sama.</x:v>
      </x:c>
      <x:c r="F17" s="23" t="str">
        <x:v>Buyer A dan nonpihak; transaksi pada tahap komplain/terminal; alasan teks dan berkas bukti valid/kosong.</x:v>
      </x:c>
      <x:c r="G17" s="23" t="str">
        <x:v>Maksimal satu kasus per transaksi.</x:v>
      </x:c>
      <x:c r="H17" s="23" t="str">
        <x:v>Komplain sah mengubah transaksi sesuai kontrak dan menahan payout; pengajuan tidak sah tidak membuat kasus baru.</x:v>
      </x:c>
      <x:c r="I17" s="24"/>
      <x:c r="J17" s="25" t="str">
        <x:v>Not Run</x:v>
      </x:c>
    </x:row>
    <x:row r="18" ht="100" customHeight="1">
      <x:c r="A18" s="22" t="str">
        <x:v>TC-16-05</x:v>
      </x:c>
      <x:c r="B18" s="23" t="str">
        <x:v>TS-16
Pengajuan komplain</x:v>
      </x:c>
      <x:c r="C18" s="23" t="str">
        <x:v>Transaksi ditutup
Prioritas: P1
Desain: Review</x:v>
      </x:c>
      <x:c r="D18" s="23" t="str">
        <x:v>Buyer terkait; tahap mengizinkan komplain; tenggat TBD.</x:v>
      </x:c>
      <x:c r="E18" s="23" t="str">
        <x:v>1. Ajukan pada COMPLETED/REFUNDED/status yang dilarang kebijakan.</x:v>
      </x:c>
      <x:c r="F18" s="23" t="str">
        <x:v>Buyer A dan nonpihak; transaksi pada tahap komplain/terminal; alasan teks dan berkas bukti valid/kosong.</x:v>
      </x:c>
      <x:c r="G18" s="23" t="str">
        <x:v>Ditolak sesuai aturan status.</x:v>
      </x:c>
      <x:c r="H18" s="23" t="str">
        <x:v>Komplain sah mengubah transaksi sesuai kontrak dan menahan payout; pengajuan tidak sah tidak membuat kasus baru.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60" priority="1" operator="containsText" text="Pass"/>
    <x:cfRule type="containsText" dxfId="61" priority="2" operator="containsText" text="Fail"/>
    <x:cfRule type="containsText" dxfId="62" priority="3" operator="containsText" text="Blocked"/>
    <x:cfRule type="containsText" dxfId="6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c496aa57c49ce"/>
  </x:tableParts>
</x:worksheet>
</file>

<file path=xl/worksheets/sheet17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TS-17  Tanggapan komplain</x:v>
      </x:c>
      <x:c r="B2" s="4" t="str">
        <x:v>TS-17  Tanggapan komplain</x:v>
      </x:c>
      <x:c r="C2" s="4" t="str">
        <x:v>TS-17  Tanggapan komplain</x:v>
      </x:c>
      <x:c r="D2" s="4" t="str">
        <x:v>TS-17  Tanggapan komplain</x:v>
      </x:c>
      <x:c r="E2" s="4" t="str">
        <x:v>TS-17  Tanggapan komplain</x:v>
      </x:c>
      <x:c r="F2" s="4" t="str">
        <x:v>TS-17  Tanggapan komplain</x:v>
      </x:c>
      <x:c r="G2" s="4" t="str">
        <x:v>TS-17  Tanggapan komplain</x:v>
      </x:c>
      <x:c r="H2" s="4" t="str">
        <x:v>TS-17  Tanggapan komplain</x:v>
      </x:c>
      <x:c r="I2" s="4" t="str">
        <x:v>TS-17  Tanggapan komplain</x:v>
      </x:c>
      <x:c r="J2" s="4" t="str">
        <x:v>TS-17  Tanggapan komplain</x:v>
      </x:c>
    </x:row>
    <x:row r="3" ht="20" customHeight="1">
      <x:c r="A3" s="5" t="str">
        <x:v>TC-17-01 sampai TC-17-04  |  4 test case  |  Rancangan revisi 0.2</x:v>
      </x:c>
      <x:c r="B3" s="5" t="str">
        <x:v>TC-17-01 sampai TC-17-04  |  4 test case  |  Rancangan revisi 0.2</x:v>
      </x:c>
      <x:c r="C3" s="5" t="str">
        <x:v>TC-17-01 sampai TC-17-04  |  4 test case  |  Rancangan revisi 0.2</x:v>
      </x:c>
      <x:c r="D3" s="5" t="str">
        <x:v>TC-17-01 sampai TC-17-04  |  4 test case  |  Rancangan revisi 0.2</x:v>
      </x:c>
      <x:c r="E3" s="5" t="str">
        <x:v>TC-17-01 sampai TC-17-04  |  4 test case  |  Rancangan revisi 0.2</x:v>
      </x:c>
      <x:c r="F3" s="5" t="str">
        <x:v>TC-17-01 sampai TC-17-04  |  4 test case  |  Rancangan revisi 0.2</x:v>
      </x:c>
      <x:c r="G3" s="5" t="str">
        <x:v>TC-17-01 sampai TC-17-04  |  4 test case  |  Rancangan revisi 0.2</x:v>
      </x:c>
      <x:c r="H3" s="5" t="str">
        <x:v>TC-17-01 sampai TC-17-04  |  4 test case  |  Rancangan revisi 0.2</x:v>
      </x:c>
      <x:c r="I3" s="5" t="str">
        <x:v>TC-17-01 sampai TC-17-04  |  4 test case  |  Rancangan revisi 0.2</x:v>
      </x:c>
      <x:c r="J3" s="5" t="str">
        <x:v>TC-17-01 sampai TC-17-04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Tanggapan komplain</x:v>
      </x:c>
      <x:c r="D5" s="3" t="str">
        <x:v>Tanggapan komplain</x:v>
      </x:c>
      <x:c r="E5" s="3" t="str">
        <x:v>Tanggapan komplain</x:v>
      </x:c>
      <x:c r="F5" s="3" t="str">
        <x:v>Tanggapan komplain</x:v>
      </x:c>
      <x:c r="G5" s="7" t="str">
        <x:v>Scenario ID</x:v>
      </x:c>
      <x:c r="H5" s="7" t="str">
        <x:v>Scenario ID</x:v>
      </x:c>
      <x:c r="I5" s="3" t="str">
        <x:v>TS-17</x:v>
      </x:c>
      <x:c r="J5" s="3" t="str">
        <x:v>TS-17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TC-17-01</x:v>
      </x:c>
      <x:c r="B14" s="23" t="str">
        <x:v>TS-17
Tanggapan komplain</x:v>
      </x:c>
      <x:c r="C14" s="23" t="str">
        <x:v>Tanggapan valid
Prioritas: P1
Desain: Review</x:v>
      </x:c>
      <x:c r="D14" s="23" t="str">
        <x:v>Kasus aktif dan Seller terkait tersedia.</x:v>
      </x:c>
      <x:c r="E14" s="23" t="str">
        <x:v>1. Baca kasus
2. isi tanggapan/bukti sesuai kewajiban.</x:v>
      </x:c>
      <x:c r="F14" s="23" t="str">
        <x:v>Kasus komplain aktif milik transaksi A-B; Seller B dan Seller lain; teks tanggapan valid/kosong/spasi.</x:v>
      </x:c>
      <x:c r="G14" s="23" t="str">
        <x:v>Tersimpan atas Seller benar; Admin diberi tahu.</x:v>
      </x:c>
      <x:c r="H14" s="23" t="str">
        <x:v>Tanggapan sah tersimpan pada kasus/pelaku yang benar; tidak otomatis memutus settlement.</x:v>
      </x:c>
      <x:c r="I14" s="24"/>
      <x:c r="J14" s="25" t="str">
        <x:v>Not Run</x:v>
      </x:c>
    </x:row>
    <x:row r="15" ht="100" customHeight="1">
      <x:c r="A15" s="22" t="str">
        <x:v>TC-17-02</x:v>
      </x:c>
      <x:c r="B15" s="23" t="str">
        <x:v>TS-17
Tanggapan komplain</x:v>
      </x:c>
      <x:c r="C15" s="23" t="str">
        <x:v>Tanggapan kosong
Prioritas: P1
Desain: Review</x:v>
      </x:c>
      <x:c r="D15" s="23" t="str">
        <x:v>Kasus aktif dan Seller terkait tersedia.</x:v>
      </x:c>
      <x:c r="E15" s="23" t="str">
        <x:v>1. Kirim kosong/hanya spasi.</x:v>
      </x:c>
      <x:c r="F15" s="23" t="str">
        <x:v>Kasus komplain aktif milik transaksi A-B; Seller B dan Seller lain; teks tanggapan valid/kosong/spasi.</x:v>
      </x:c>
      <x:c r="G15" s="23" t="str">
        <x:v>Ditolak.</x:v>
      </x:c>
      <x:c r="H15" s="23" t="str">
        <x:v>Tanggapan sah tersimpan pada kasus/pelaku yang benar; tidak otomatis memutus settlement.</x:v>
      </x:c>
      <x:c r="I15" s="24"/>
      <x:c r="J15" s="25" t="str">
        <x:v>Not Run</x:v>
      </x:c>
    </x:row>
    <x:row r="16" ht="100" customHeight="1">
      <x:c r="A16" s="22" t="str">
        <x:v>TC-17-03</x:v>
      </x:c>
      <x:c r="B16" s="23" t="str">
        <x:v>TS-17
Tanggapan komplain</x:v>
      </x:c>
      <x:c r="C16" s="23" t="str">
        <x:v>Kasus pihak lain
Prioritas: P1
Desain: Review</x:v>
      </x:c>
      <x:c r="D16" s="23" t="str">
        <x:v>Kasus aktif dan Seller terkait tersedia.</x:v>
      </x:c>
      <x:c r="E16" s="23" t="str">
        <x:v>1. Seller lain membuka/menanggapi.</x:v>
      </x:c>
      <x:c r="F16" s="23" t="str">
        <x:v>Kasus komplain aktif milik transaksi A-B; Seller B dan Seller lain; teks tanggapan valid/kosong/spasi.</x:v>
      </x:c>
      <x:c r="G16" s="23" t="str">
        <x:v>Akses dan penyimpanan ditolak.</x:v>
      </x:c>
      <x:c r="H16" s="23" t="str">
        <x:v>Tanggapan sah tersimpan pada kasus/pelaku yang benar; tidak otomatis memutus settlement.</x:v>
      </x:c>
      <x:c r="I16" s="24"/>
      <x:c r="J16" s="25" t="str">
        <x:v>Not Run</x:v>
      </x:c>
    </x:row>
    <x:row r="17" ht="100" customHeight="1">
      <x:c r="A17" s="22" t="str">
        <x:v>TC-17-04</x:v>
      </x:c>
      <x:c r="B17" s="23" t="str">
        <x:v>TS-17
Tanggapan komplain</x:v>
      </x:c>
      <x:c r="C17" s="23" t="str">
        <x:v>Bukan keputusan
Prioritas: P1
Desain: Review</x:v>
      </x:c>
      <x:c r="D17" s="23" t="str">
        <x:v>Kasus aktif dan Seller terkait tersedia.</x:v>
      </x:c>
      <x:c r="E17" s="23" t="str">
        <x:v>1. Kirim tanggapan valid.</x:v>
      </x:c>
      <x:c r="F17" s="23" t="str">
        <x:v>Kasus komplain aktif milik transaksi A-B; Seller B dan Seller lain; teks tanggapan valid/kosong/spasi.</x:v>
      </x:c>
      <x:c r="G17" s="23" t="str">
        <x:v>Tidak otomatis memutus payout/refund atau menutup transaksi.</x:v>
      </x:c>
      <x:c r="H17" s="23" t="str">
        <x:v>Tanggapan sah tersimpan pada kasus/pelaku yang benar; tidak otomatis memutus settlement.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64" priority="1" operator="containsText" text="Pass"/>
    <x:cfRule type="containsText" dxfId="65" priority="2" operator="containsText" text="Fail"/>
    <x:cfRule type="containsText" dxfId="66" priority="3" operator="containsText" text="Blocked"/>
    <x:cfRule type="containsText" dxfId="67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a8d1659ac4bcb"/>
  </x:tableParts>
</x:worksheet>
</file>

<file path=xl/worksheets/sheet18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TS-18  Keputusan komplain</x:v>
      </x:c>
      <x:c r="B2" s="4" t="str">
        <x:v>TS-18  Keputusan komplain</x:v>
      </x:c>
      <x:c r="C2" s="4" t="str">
        <x:v>TS-18  Keputusan komplain</x:v>
      </x:c>
      <x:c r="D2" s="4" t="str">
        <x:v>TS-18  Keputusan komplain</x:v>
      </x:c>
      <x:c r="E2" s="4" t="str">
        <x:v>TS-18  Keputusan komplain</x:v>
      </x:c>
      <x:c r="F2" s="4" t="str">
        <x:v>TS-18  Keputusan komplain</x:v>
      </x:c>
      <x:c r="G2" s="4" t="str">
        <x:v>TS-18  Keputusan komplain</x:v>
      </x:c>
      <x:c r="H2" s="4" t="str">
        <x:v>TS-18  Keputusan komplain</x:v>
      </x:c>
      <x:c r="I2" s="4" t="str">
        <x:v>TS-18  Keputusan komplain</x:v>
      </x:c>
      <x:c r="J2" s="4" t="str">
        <x:v>TS-18  Keputusan komplain</x:v>
      </x:c>
    </x:row>
    <x:row r="3" ht="20" customHeight="1">
      <x:c r="A3" s="5" t="str">
        <x:v>TC-18-01 sampai TC-18-05  |  5 test case  |  Rancangan revisi 0.2</x:v>
      </x:c>
      <x:c r="B3" s="5" t="str">
        <x:v>TC-18-01 sampai TC-18-05  |  5 test case  |  Rancangan revisi 0.2</x:v>
      </x:c>
      <x:c r="C3" s="5" t="str">
        <x:v>TC-18-01 sampai TC-18-05  |  5 test case  |  Rancangan revisi 0.2</x:v>
      </x:c>
      <x:c r="D3" s="5" t="str">
        <x:v>TC-18-01 sampai TC-18-05  |  5 test case  |  Rancangan revisi 0.2</x:v>
      </x:c>
      <x:c r="E3" s="5" t="str">
        <x:v>TC-18-01 sampai TC-18-05  |  5 test case  |  Rancangan revisi 0.2</x:v>
      </x:c>
      <x:c r="F3" s="5" t="str">
        <x:v>TC-18-01 sampai TC-18-05  |  5 test case  |  Rancangan revisi 0.2</x:v>
      </x:c>
      <x:c r="G3" s="5" t="str">
        <x:v>TC-18-01 sampai TC-18-05  |  5 test case  |  Rancangan revisi 0.2</x:v>
      </x:c>
      <x:c r="H3" s="5" t="str">
        <x:v>TC-18-01 sampai TC-18-05  |  5 test case  |  Rancangan revisi 0.2</x:v>
      </x:c>
      <x:c r="I3" s="5" t="str">
        <x:v>TC-18-01 sampai TC-18-05  |  5 test case  |  Rancangan revisi 0.2</x:v>
      </x:c>
      <x:c r="J3" s="5" t="str">
        <x:v>TC-18-01 sampai TC-18-05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Keputusan komplain</x:v>
      </x:c>
      <x:c r="D5" s="3" t="str">
        <x:v>Keputusan komplain</x:v>
      </x:c>
      <x:c r="E5" s="3" t="str">
        <x:v>Keputusan komplain</x:v>
      </x:c>
      <x:c r="F5" s="3" t="str">
        <x:v>Keputusan komplain</x:v>
      </x:c>
      <x:c r="G5" s="7" t="str">
        <x:v>Scenario ID</x:v>
      </x:c>
      <x:c r="H5" s="7" t="str">
        <x:v>Scenario ID</x:v>
      </x:c>
      <x:c r="I5" s="3" t="str">
        <x:v>TS-18</x:v>
      </x:c>
      <x:c r="J5" s="3" t="str">
        <x:v>TS-18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TC-18-01</x:v>
      </x:c>
      <x:c r="B14" s="23" t="str">
        <x:v>TS-18
Keputusan komplain</x:v>
      </x:c>
      <x:c r="C14" s="23" t="str">
        <x:v>Bahan peninjauan
Prioritas: P1
Desain: Review</x:v>
      </x:c>
      <x:c r="D14" s="23" t="str">
        <x:v>Admin aktif; kasus memiliki snapshot dan bukti.</x:v>
      </x:c>
      <x:c r="E14" s="23" t="str">
        <x:v>1. Admin membuka kasus.</x:v>
      </x:c>
      <x:c r="F14" s="23" t="str">
        <x:v>Admin QA dan USER; komplain, snapshot, payment, bukti penyerahan/tanggapan; keputusan PAYOUT/REFUND dan alasan.</x:v>
      </x:c>
      <x:c r="G14" s="23" t="str">
        <x:v>Snapshot, payment, penyerahan, komplain, tanggapan, riwayat tersedia.</x:v>
      </x:c>
      <x:c r="H14" s="23" t="str">
        <x:v>Keputusan Admin sah tercatat beserta alasan/waktu; settlement tetap langkah terpisah.</x:v>
      </x:c>
      <x:c r="I14" s="24"/>
      <x:c r="J14" s="25" t="str">
        <x:v>Not Run</x:v>
      </x:c>
    </x:row>
    <x:row r="15" ht="100" customHeight="1">
      <x:c r="A15" s="22" t="str">
        <x:v>TC-18-02</x:v>
      </x:c>
      <x:c r="B15" s="23" t="str">
        <x:v>TS-18
Keputusan komplain</x:v>
      </x:c>
      <x:c r="C15" s="23" t="str">
        <x:v>Keputusan payout
Prioritas: P1
Desain: Review</x:v>
      </x:c>
      <x:c r="D15" s="23" t="str">
        <x:v>Admin aktif; kasus memiliki snapshot dan bukti.</x:v>
      </x:c>
      <x:c r="E15" s="23" t="str">
        <x:v>1. Pilih PAYOUT
2. isi alasan.</x:v>
      </x:c>
      <x:c r="F15" s="23" t="str">
        <x:v>Admin QA dan USER; komplain, snapshot, payment, bukti penyerahan/tanggapan; keputusan PAYOUT/REFUND dan alasan.</x:v>
      </x:c>
      <x:c r="G15" s="23" t="str">
        <x:v>Keputusan/alasan/pelaku/waktu tersimpan; settlement belum selesai.</x:v>
      </x:c>
      <x:c r="H15" s="23" t="str">
        <x:v>Keputusan Admin sah tercatat beserta alasan/waktu; settlement tetap langkah terpisah.</x:v>
      </x:c>
      <x:c r="I15" s="24"/>
      <x:c r="J15" s="25" t="str">
        <x:v>Not Run</x:v>
      </x:c>
    </x:row>
    <x:row r="16" ht="100" customHeight="1">
      <x:c r="A16" s="22" t="str">
        <x:v>TC-18-03</x:v>
      </x:c>
      <x:c r="B16" s="23" t="str">
        <x:v>TS-18
Keputusan komplain</x:v>
      </x:c>
      <x:c r="C16" s="23" t="str">
        <x:v>Keputusan refund
Prioritas: P1
Desain: Review</x:v>
      </x:c>
      <x:c r="D16" s="23" t="str">
        <x:v>Admin aktif; kasus memiliki snapshot dan bukti.</x:v>
      </x:c>
      <x:c r="E16" s="23" t="str">
        <x:v>1. Pilih REFUND
2. isi alasan.</x:v>
      </x:c>
      <x:c r="F16" s="23" t="str">
        <x:v>Admin QA dan USER; komplain, snapshot, payment, bukti penyerahan/tanggapan; keputusan PAYOUT/REFUND dan alasan.</x:v>
      </x:c>
      <x:c r="G16" s="23" t="str">
        <x:v>Keputusan tersimpan; pencatatan refund langkah berikutnya.</x:v>
      </x:c>
      <x:c r="H16" s="23" t="str">
        <x:v>Keputusan Admin sah tercatat beserta alasan/waktu; settlement tetap langkah terpisah.</x:v>
      </x:c>
      <x:c r="I16" s="24"/>
      <x:c r="J16" s="25" t="str">
        <x:v>Not Run</x:v>
      </x:c>
    </x:row>
    <x:row r="17" ht="100" customHeight="1">
      <x:c r="A17" s="22" t="str">
        <x:v>TC-18-04</x:v>
      </x:c>
      <x:c r="B17" s="23" t="str">
        <x:v>TS-18
Keputusan komplain</x:v>
      </x:c>
      <x:c r="C17" s="23" t="str">
        <x:v>Alasan atau informasi kurang
Prioritas: P1
Desain: Review</x:v>
      </x:c>
      <x:c r="D17" s="23" t="str">
        <x:v>Admin aktif; kasus memiliki snapshot dan bukti.</x:v>
      </x:c>
      <x:c r="E17" s="23" t="str">
        <x:v>1. Kosongkan alasan
2. uji permintaan informasi tambahan.</x:v>
      </x:c>
      <x:c r="F17" s="23" t="str">
        <x:v>Admin QA dan USER; komplain, snapshot, payment, bukti penyerahan/tanggapan; keputusan PAYOUT/REFUND dan alasan.</x:v>
      </x:c>
      <x:c r="G17" s="23" t="str">
        <x:v>Tanpa alasan ditolak; meminta informasi tidak membuat keputusan akhir.</x:v>
      </x:c>
      <x:c r="H17" s="23" t="str">
        <x:v>Keputusan Admin sah tercatat beserta alasan/waktu; settlement tetap langkah terpisah.</x:v>
      </x:c>
      <x:c r="I17" s="24"/>
      <x:c r="J17" s="25" t="str">
        <x:v>Not Run</x:v>
      </x:c>
    </x:row>
    <x:row r="18" ht="100" customHeight="1">
      <x:c r="A18" s="22" t="str">
        <x:v>TC-18-05</x:v>
      </x:c>
      <x:c r="B18" s="23" t="str">
        <x:v>TS-18
Keputusan komplain</x:v>
      </x:c>
      <x:c r="C18" s="23" t="str">
        <x:v>Akses dan pengulangan
Prioritas: P1
Desain: Review</x:v>
      </x:c>
      <x:c r="D18" s="23" t="str">
        <x:v>Admin aktif; kasus memiliki snapshot dan bukti.</x:v>
      </x:c>
      <x:c r="E18" s="23" t="str">
        <x:v>1. USER memutuskan
2. Admin kirim ulang keputusan sama.</x:v>
      </x:c>
      <x:c r="F18" s="23" t="str">
        <x:v>Admin QA dan USER; komplain, snapshot, payment, bukti penyerahan/tanggapan; keputusan PAYOUT/REFUND dan alasan.</x:v>
      </x:c>
      <x:c r="G18" s="23" t="str">
        <x:v>USER ditolak; efek keputusan tidak ganda.</x:v>
      </x:c>
      <x:c r="H18" s="23" t="str">
        <x:v>Keputusan Admin sah tercatat beserta alasan/waktu; settlement tetap langkah terpisah.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68" priority="1" operator="containsText" text="Pass"/>
    <x:cfRule type="containsText" dxfId="69" priority="2" operator="containsText" text="Fail"/>
    <x:cfRule type="containsText" dxfId="70" priority="3" operator="containsText" text="Blocked"/>
    <x:cfRule type="containsText" dxfId="71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f6542424e84902"/>
  </x:tableParts>
</x:worksheet>
</file>

<file path=xl/worksheets/sheet19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TS-19  Payout simulatif</x:v>
      </x:c>
      <x:c r="B2" s="4" t="str">
        <x:v>TS-19  Payout simulatif</x:v>
      </x:c>
      <x:c r="C2" s="4" t="str">
        <x:v>TS-19  Payout simulatif</x:v>
      </x:c>
      <x:c r="D2" s="4" t="str">
        <x:v>TS-19  Payout simulatif</x:v>
      </x:c>
      <x:c r="E2" s="4" t="str">
        <x:v>TS-19  Payout simulatif</x:v>
      </x:c>
      <x:c r="F2" s="4" t="str">
        <x:v>TS-19  Payout simulatif</x:v>
      </x:c>
      <x:c r="G2" s="4" t="str">
        <x:v>TS-19  Payout simulatif</x:v>
      </x:c>
      <x:c r="H2" s="4" t="str">
        <x:v>TS-19  Payout simulatif</x:v>
      </x:c>
      <x:c r="I2" s="4" t="str">
        <x:v>TS-19  Payout simulatif</x:v>
      </x:c>
      <x:c r="J2" s="4" t="str">
        <x:v>TS-19  Payout simulatif</x:v>
      </x:c>
    </x:row>
    <x:row r="3" ht="20" customHeight="1">
      <x:c r="A3" s="5" t="str">
        <x:v>TC-19-01 sampai TC-19-05  |  5 test case  |  Rancangan revisi 0.2</x:v>
      </x:c>
      <x:c r="B3" s="5" t="str">
        <x:v>TC-19-01 sampai TC-19-05  |  5 test case  |  Rancangan revisi 0.2</x:v>
      </x:c>
      <x:c r="C3" s="5" t="str">
        <x:v>TC-19-01 sampai TC-19-05  |  5 test case  |  Rancangan revisi 0.2</x:v>
      </x:c>
      <x:c r="D3" s="5" t="str">
        <x:v>TC-19-01 sampai TC-19-05  |  5 test case  |  Rancangan revisi 0.2</x:v>
      </x:c>
      <x:c r="E3" s="5" t="str">
        <x:v>TC-19-01 sampai TC-19-05  |  5 test case  |  Rancangan revisi 0.2</x:v>
      </x:c>
      <x:c r="F3" s="5" t="str">
        <x:v>TC-19-01 sampai TC-19-05  |  5 test case  |  Rancangan revisi 0.2</x:v>
      </x:c>
      <x:c r="G3" s="5" t="str">
        <x:v>TC-19-01 sampai TC-19-05  |  5 test case  |  Rancangan revisi 0.2</x:v>
      </x:c>
      <x:c r="H3" s="5" t="str">
        <x:v>TC-19-01 sampai TC-19-05  |  5 test case  |  Rancangan revisi 0.2</x:v>
      </x:c>
      <x:c r="I3" s="5" t="str">
        <x:v>TC-19-01 sampai TC-19-05  |  5 test case  |  Rancangan revisi 0.2</x:v>
      </x:c>
      <x:c r="J3" s="5" t="str">
        <x:v>TC-19-01 sampai TC-19-05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Payout simulatif</x:v>
      </x:c>
      <x:c r="D5" s="3" t="str">
        <x:v>Payout simulatif</x:v>
      </x:c>
      <x:c r="E5" s="3" t="str">
        <x:v>Payout simulatif</x:v>
      </x:c>
      <x:c r="F5" s="3" t="str">
        <x:v>Payout simulatif</x:v>
      </x:c>
      <x:c r="G5" s="7" t="str">
        <x:v>Scenario ID</x:v>
      </x:c>
      <x:c r="H5" s="7" t="str">
        <x:v>Scenario ID</x:v>
      </x:c>
      <x:c r="I5" s="3" t="str">
        <x:v>TS-19</x:v>
      </x:c>
      <x:c r="J5" s="3" t="str">
        <x:v>TS-19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TC-19-01</x:v>
      </x:c>
      <x:c r="B14" s="23" t="str">
        <x:v>TS-19
Payout simulatif</x:v>
      </x:c>
      <x:c r="C14" s="23" t="str">
        <x:v>Payout setelah konfirmasi
Prioritas: P1
Desain: Review</x:v>
      </x:c>
      <x:c r="D14" s="23" t="str">
        <x:v>CONFIRMED atau keputusan PAYOUT; tujuan Seller valid.</x:v>
      </x:c>
      <x:c r="E14" s="23" t="str">
        <x:v>1. Admin catat seller_net, referensi/bukti sesuai kebijakan.</x:v>
      </x:c>
      <x:c r="F14" s="23" t="str">
        <x:v>Admin QA dan USER; transaksi CONFIRMED/keputusan PAYOUT; seller_net, tujuan Seller, referensi serta bukti payout simulatif.</x:v>
      </x:c>
      <x:c r="G14" s="23" t="str">
        <x:v>PAYOUT COMPLETED; transaksi COMPLETED; pelaku/waktu/bukti tercatat.</x:v>
      </x:c>
      <x:c r="H14" s="23" t="str">
        <x:v>Payout hanya final setelah pencatatan manual sah; request gagal/ganda tidak membuat settlement final tambahan.</x:v>
      </x:c>
      <x:c r="I14" s="24"/>
      <x:c r="J14" s="25" t="str">
        <x:v>Not Run</x:v>
      </x:c>
    </x:row>
    <x:row r="15" ht="100" customHeight="1">
      <x:c r="A15" s="22" t="str">
        <x:v>TC-19-02</x:v>
      </x:c>
      <x:c r="B15" s="23" t="str">
        <x:v>TS-19
Payout simulatif</x:v>
      </x:c>
      <x:c r="C15" s="23" t="str">
        <x:v>Payout komplain
Prioritas: P1
Desain: Review</x:v>
      </x:c>
      <x:c r="D15" s="23" t="str">
        <x:v>CONFIRMED atau keputusan PAYOUT; tujuan Seller valid.</x:v>
      </x:c>
      <x:c r="E15" s="23" t="str">
        <x:v>1. Catat payout pada keputusan PAYOUT.</x:v>
      </x:c>
      <x:c r="F15" s="23" t="str">
        <x:v>Admin QA dan USER; transaksi CONFIRMED/keputusan PAYOUT; seller_net, tujuan Seller, referensi serta bukti payout simulatif.</x:v>
      </x:c>
      <x:c r="G15" s="23" t="str">
        <x:v>Keputusan/nominal benar; penyelesaian sekali.</x:v>
      </x:c>
      <x:c r="H15" s="23" t="str">
        <x:v>Payout hanya final setelah pencatatan manual sah; request gagal/ganda tidak membuat settlement final tambahan.</x:v>
      </x:c>
      <x:c r="I15" s="24"/>
      <x:c r="J15" s="25" t="str">
        <x:v>Not Run</x:v>
      </x:c>
    </x:row>
    <x:row r="16" ht="107" customHeight="1">
      <x:c r="A16" s="22" t="str">
        <x:v>TC-19-03</x:v>
      </x:c>
      <x:c r="B16" s="23" t="str">
        <x:v>TS-19
Payout simulatif</x:v>
      </x:c>
      <x:c r="C16" s="23" t="str">
        <x:v>Belum memenuhi syarat
Prioritas: P1
Desain: TBD</x:v>
      </x:c>
      <x:c r="D16" s="23" t="str">
        <x:v>CONFIRMED atau keputusan PAYOUT; tujuan Seller valid.</x:v>
      </x:c>
      <x:c r="E16" s="23" t="str">
        <x:v>1. Payout sebelum konfirmasi/komplain belum diputus.</x:v>
      </x:c>
      <x:c r="F16" s="23" t="str">
        <x:v>Admin QA dan USER; transaksi CONFIRMED/keputusan PAYOUT; seller_net, tujuan Seller, referensi serta bukti payout simulatif.
TBD: lengkapi aturan/data yang belum disahkan sebelum menjalankan kasus ini.</x:v>
      </x:c>
      <x:c r="G16" s="23" t="str">
        <x:v>Ditolak.</x:v>
      </x:c>
      <x:c r="H16" s="23" t="str">
        <x:v>Payout hanya final setelah pencatatan manual sah; request gagal/ganda tidak membuat settlement final tambahan.</x:v>
      </x:c>
      <x:c r="I16" s="24"/>
      <x:c r="J16" s="25" t="str">
        <x:v>Not Run</x:v>
      </x:c>
    </x:row>
    <x:row r="17" ht="100" customHeight="1">
      <x:c r="A17" s="22" t="str">
        <x:v>TC-19-04</x:v>
      </x:c>
      <x:c r="B17" s="23" t="str">
        <x:v>TS-19
Payout simulatif</x:v>
      </x:c>
      <x:c r="C17" s="23" t="str">
        <x:v>Data atau pelaku salah
Prioritas: P1
Desain: Review</x:v>
      </x:c>
      <x:c r="D17" s="23" t="str">
        <x:v>CONFIRMED atau keputusan PAYOUT; tujuan Seller valid.</x:v>
      </x:c>
      <x:c r="E17" s="23" t="str">
        <x:v>1. Uji nominal bukan seller_net, wajib kosong, pelaku USER.</x:v>
      </x:c>
      <x:c r="F17" s="23" t="str">
        <x:v>Admin QA dan USER; transaksi CONFIRMED/keputusan PAYOUT; seller_net, tujuan Seller, referensi serta bukti payout simulatif.</x:v>
      </x:c>
      <x:c r="G17" s="23" t="str">
        <x:v>Ditolak; tidak ada settlement final tidak sah.</x:v>
      </x:c>
      <x:c r="H17" s="23" t="str">
        <x:v>Payout hanya final setelah pencatatan manual sah; request gagal/ganda tidak membuat settlement final tambahan.</x:v>
      </x:c>
      <x:c r="I17" s="24"/>
      <x:c r="J17" s="25" t="str">
        <x:v>Not Run</x:v>
      </x:c>
    </x:row>
    <x:row r="18" ht="100" customHeight="1">
      <x:c r="A18" s="22" t="str">
        <x:v>TC-19-05</x:v>
      </x:c>
      <x:c r="B18" s="23" t="str">
        <x:v>TS-19
Payout simulatif</x:v>
      </x:c>
      <x:c r="C18" s="23" t="str">
        <x:v>Ganda dan final terkunci
Prioritas: P1
Desain: Review</x:v>
      </x:c>
      <x:c r="D18" s="23" t="str">
        <x:v>CONFIRMED atau keputusan PAYOUT; tujuan Seller valid.</x:v>
      </x:c>
      <x:c r="E18" s="23" t="str">
        <x:v>1. Kirim ulang/bersamaan
2. coba ubah settlement COMPLETED.</x:v>
      </x:c>
      <x:c r="F18" s="23" t="str">
        <x:v>Admin QA dan USER; transaksi CONFIRMED/keputusan PAYOUT; seller_net, tujuan Seller, referensi serta bukti payout simulatif.</x:v>
      </x:c>
      <x:c r="G18" s="23" t="str">
        <x:v>Satu penyelesaian final; detail terkunci; tanpa transfer nyata.</x:v>
      </x:c>
      <x:c r="H18" s="23" t="str">
        <x:v>Payout hanya final setelah pencatatan manual sah; request gagal/ganda tidak membuat settlement final tambahan.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72" priority="1" operator="containsText" text="Pass"/>
    <x:cfRule type="containsText" dxfId="73" priority="2" operator="containsText" text="Fail"/>
    <x:cfRule type="containsText" dxfId="74" priority="3" operator="containsText" text="Blocked"/>
    <x:cfRule type="containsText" dxfId="75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47ffc7cf7b40af"/>
  </x:tableParts>
</x:worksheet>
</file>

<file path=xl/worksheets/sheet20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TS-20  Refund simulatif</x:v>
      </x:c>
      <x:c r="B2" s="4" t="str">
        <x:v>TS-20  Refund simulatif</x:v>
      </x:c>
      <x:c r="C2" s="4" t="str">
        <x:v>TS-20  Refund simulatif</x:v>
      </x:c>
      <x:c r="D2" s="4" t="str">
        <x:v>TS-20  Refund simulatif</x:v>
      </x:c>
      <x:c r="E2" s="4" t="str">
        <x:v>TS-20  Refund simulatif</x:v>
      </x:c>
      <x:c r="F2" s="4" t="str">
        <x:v>TS-20  Refund simulatif</x:v>
      </x:c>
      <x:c r="G2" s="4" t="str">
        <x:v>TS-20  Refund simulatif</x:v>
      </x:c>
      <x:c r="H2" s="4" t="str">
        <x:v>TS-20  Refund simulatif</x:v>
      </x:c>
      <x:c r="I2" s="4" t="str">
        <x:v>TS-20  Refund simulatif</x:v>
      </x:c>
      <x:c r="J2" s="4" t="str">
        <x:v>TS-20  Refund simulatif</x:v>
      </x:c>
    </x:row>
    <x:row r="3" ht="20" customHeight="1">
      <x:c r="A3" s="5" t="str">
        <x:v>TC-20-01 sampai TC-20-07  |  7 test case  |  Rancangan revisi 0.2</x:v>
      </x:c>
      <x:c r="B3" s="5" t="str">
        <x:v>TC-20-01 sampai TC-20-07  |  7 test case  |  Rancangan revisi 0.2</x:v>
      </x:c>
      <x:c r="C3" s="5" t="str">
        <x:v>TC-20-01 sampai TC-20-07  |  7 test case  |  Rancangan revisi 0.2</x:v>
      </x:c>
      <x:c r="D3" s="5" t="str">
        <x:v>TC-20-01 sampai TC-20-07  |  7 test case  |  Rancangan revisi 0.2</x:v>
      </x:c>
      <x:c r="E3" s="5" t="str">
        <x:v>TC-20-01 sampai TC-20-07  |  7 test case  |  Rancangan revisi 0.2</x:v>
      </x:c>
      <x:c r="F3" s="5" t="str">
        <x:v>TC-20-01 sampai TC-20-07  |  7 test case  |  Rancangan revisi 0.2</x:v>
      </x:c>
      <x:c r="G3" s="5" t="str">
        <x:v>TC-20-01 sampai TC-20-07  |  7 test case  |  Rancangan revisi 0.2</x:v>
      </x:c>
      <x:c r="H3" s="5" t="str">
        <x:v>TC-20-01 sampai TC-20-07  |  7 test case  |  Rancangan revisi 0.2</x:v>
      </x:c>
      <x:c r="I3" s="5" t="str">
        <x:v>TC-20-01 sampai TC-20-07  |  7 test case  |  Rancangan revisi 0.2</x:v>
      </x:c>
      <x:c r="J3" s="5" t="str">
        <x:v>TC-20-01 sampai TC-20-07  |  7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Refund simulatif</x:v>
      </x:c>
      <x:c r="D5" s="3" t="str">
        <x:v>Refund simulatif</x:v>
      </x:c>
      <x:c r="E5" s="3" t="str">
        <x:v>Refund simulatif</x:v>
      </x:c>
      <x:c r="F5" s="3" t="str">
        <x:v>Refund simulatif</x:v>
      </x:c>
      <x:c r="G5" s="7" t="str">
        <x:v>Scenario ID</x:v>
      </x:c>
      <x:c r="H5" s="7" t="str">
        <x:v>Scenario ID</x:v>
      </x:c>
      <x:c r="I5" s="3" t="str">
        <x:v>TS-20</x:v>
      </x:c>
      <x:c r="J5" s="3" t="str">
        <x:v>TS-20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COUNTA(A14:A20)</x:f>
        <x:v>7</x:v>
      </x:c>
      <x:c r="C11" s="13" t="str">
        <x:v>Pass</x:v>
      </x:c>
      <x:c r="D11" s="14" t="n">
        <x:f>COUNTIFS(J14:J20,"Pass")</x:f>
        <x:v>0</x:v>
      </x:c>
      <x:c r="E11" s="13" t="str">
        <x:v>Fail</x:v>
      </x:c>
      <x:c r="F11" s="14" t="n">
        <x:f>COUNTIFS(J14:J20,"Fail")</x:f>
        <x:v>0</x:v>
      </x:c>
      <x:c r="G11" s="13" t="str">
        <x:v>Blocked</x:v>
      </x:c>
      <x:c r="H11" s="14" t="n">
        <x:f>COUNTIFS(J14:J20,"Blocked")</x:f>
        <x:v>0</x:v>
      </x:c>
      <x:c r="I11" s="13" t="str">
        <x:v>Not Run</x:v>
      </x:c>
      <x:c r="J11" s="14" t="n">
        <x:f>COUNTIFS(J14:J20,"Not Run")</x:f>
        <x:v>7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TC-20-01</x:v>
      </x:c>
      <x:c r="B14" s="23" t="str">
        <x:v>TS-20
Refund simulatif</x:v>
      </x:c>
      <x:c r="C14" s="23" t="str">
        <x:v>Refund valid
Prioritas: P1
Desain: TBD</x:v>
      </x:c>
      <x:c r="D14" s="23" t="str">
        <x:v>Keputusan refund dan tujuan Buyer valid. Dasar bruto refund serta biaya Midtrans untuk order uji harus disahkan.</x:v>
      </x:c>
      <x:c r="E14" s="23" t="str">
        <x:v>1. Ambil dasar refund G dari kebijakan yang disahkan dan fee Midtrans M untuk order uji
2. hitung R = G - 3 x M. Admin catat R dan tujuan Buyer.</x:v>
      </x:c>
      <x:c r="F14" s="23" t="str">
        <x:v>Keputusan REFUND; tujuan Buyer; G sebagai dasar refund yang disahkan; M sebagai fee Midtrans order uji; R = G - 3 x M.
TBD: lengkapi aturan/data yang belum disahkan sebelum menjalankan kasus ini.</x:v>
      </x:c>
      <x:c r="G14" s="23" t="str">
        <x:v>Nominal dicocokkan dengan R; komponen G, M dan potongan 3 x M tersimpan/tertelusur. REFUNDED hanya setelah settlement manual berhasil dicatat.</x:v>
      </x:c>
      <x:c r="H14" s="23" t="str">
        <x:v>Refund mengikuti rumus yang disahkan dan tercatat sekali. Payout/refund final saling eksklusif.</x:v>
      </x:c>
      <x:c r="I14" s="24"/>
      <x:c r="J14" s="25" t="str">
        <x:v>Not Run</x:v>
      </x:c>
    </x:row>
    <x:row r="15" ht="100" customHeight="1">
      <x:c r="A15" s="22" t="str">
        <x:v>TC-20-02</x:v>
      </x:c>
      <x:c r="B15" s="23" t="str">
        <x:v>TS-20
Refund simulatif</x:v>
      </x:c>
      <x:c r="C15" s="23" t="str">
        <x:v>Tanpa keputusan
Prioritas: P1
Desain: Review</x:v>
      </x:c>
      <x:c r="D15" s="23" t="str">
        <x:v>Keputusan refund dan tujuan Buyer valid. Dasar bruto refund serta biaya Midtrans untuk order uji harus disahkan.</x:v>
      </x:c>
      <x:c r="E15" s="23" t="str">
        <x:v>1. Coba tanpa keputusan REFUND/keputusan PAYOUT.</x:v>
      </x:c>
      <x:c r="F15" s="23" t="str">
        <x:v>Keputusan REFUND; tujuan Buyer; G sebagai dasar refund yang disahkan; M sebagai fee Midtrans order uji; R = G - 3 x M.</x:v>
      </x:c>
      <x:c r="G15" s="23" t="str">
        <x:v>Ditolak.</x:v>
      </x:c>
      <x:c r="H15" s="23" t="str">
        <x:v>Refund mengikuti rumus yang disahkan dan tercatat sekali. Payout/refund final saling eksklusif.</x:v>
      </x:c>
      <x:c r="I15" s="24"/>
      <x:c r="J15" s="25" t="str">
        <x:v>Not Run</x:v>
      </x:c>
    </x:row>
    <x:row r="16" ht="107" customHeight="1">
      <x:c r="A16" s="22" t="str">
        <x:v>TC-20-03</x:v>
      </x:c>
      <x:c r="B16" s="23" t="str">
        <x:v>TS-20
Refund simulatif</x:v>
      </x:c>
      <x:c r="C16" s="23" t="str">
        <x:v>Nominal atau tujuan salah
Prioritas: P1
Desain: TBD</x:v>
      </x:c>
      <x:c r="D16" s="23" t="str">
        <x:v>Keputusan refund dan tujuan Buyer valid. Dasar bruto refund serta biaya Midtrans untuk order uji harus disahkan.</x:v>
      </x:c>
      <x:c r="E16" s="23" t="str">
        <x:v>1. Dengan G dan M disahkan, kirim R+1, R-1, lalu tujuan yang tidak lengkap sebagai dataset terpisah.</x:v>
      </x:c>
      <x:c r="F16" s="23" t="str">
        <x:v>Keputusan REFUND; tujuan Buyer; G sebagai dasar refund yang disahkan; M sebagai fee Midtrans order uji; R = G - 3 x M.
TBD: lengkapi aturan/data yang belum disahkan sebelum menjalankan kasus ini.</x:v>
      </x:c>
      <x:c r="G16" s="23" t="str">
        <x:v>Setiap nominal di luar hasil rumus dan tujuan tidak lengkap ditolak; tidak ada settlement final; status serta saldo tidak berubah.</x:v>
      </x:c>
      <x:c r="H16" s="23" t="str">
        <x:v>Refund mengikuti rumus yang disahkan dan tercatat sekali. Payout/refund final saling eksklusif.</x:v>
      </x:c>
      <x:c r="I16" s="24"/>
      <x:c r="J16" s="25" t="str">
        <x:v>Not Run</x:v>
      </x:c>
    </x:row>
    <x:row r="17" ht="100" customHeight="1">
      <x:c r="A17" s="22" t="str">
        <x:v>TC-20-04</x:v>
      </x:c>
      <x:c r="B17" s="23" t="str">
        <x:v>TS-20
Refund simulatif</x:v>
      </x:c>
      <x:c r="C17" s="23" t="str">
        <x:v>Pelaku salah
Prioritas: P1
Desain: Review</x:v>
      </x:c>
      <x:c r="D17" s="23" t="str">
        <x:v>Keputusan refund dan tujuan Buyer valid. Dasar bruto refund serta biaya Midtrans untuk order uji harus disahkan.</x:v>
      </x:c>
      <x:c r="E17" s="23" t="str">
        <x:v>1. Buyer/Seller mencatat refund.</x:v>
      </x:c>
      <x:c r="F17" s="23" t="str">
        <x:v>Keputusan REFUND; tujuan Buyer; G sebagai dasar refund yang disahkan; M sebagai fee Midtrans order uji; R = G - 3 x M.</x:v>
      </x:c>
      <x:c r="G17" s="23" t="str">
        <x:v>Ditolak.</x:v>
      </x:c>
      <x:c r="H17" s="23" t="str">
        <x:v>Refund mengikuti rumus yang disahkan dan tercatat sekali. Payout/refund final saling eksklusif.</x:v>
      </x:c>
      <x:c r="I17" s="24"/>
      <x:c r="J17" s="25" t="str">
        <x:v>Not Run</x:v>
      </x:c>
    </x:row>
    <x:row r="18" ht="100" customHeight="1">
      <x:c r="A18" s="22" t="str">
        <x:v>TC-20-05</x:v>
      </x:c>
      <x:c r="B18" s="23" t="str">
        <x:v>TS-20
Refund simulatif</x:v>
      </x:c>
      <x:c r="C18" s="23" t="str">
        <x:v>Penyelesaian ganda
Prioritas: P1
Desain: Review</x:v>
      </x:c>
      <x:c r="D18" s="23" t="str">
        <x:v>Keputusan refund dan tujuan Buyer valid. Dasar bruto refund serta biaya Midtrans untuk order uji harus disahkan.</x:v>
      </x:c>
      <x:c r="E18" s="23" t="str">
        <x:v>1. Ulangi refund
2. refund setelah payout
3. payout setelah refund.</x:v>
      </x:c>
      <x:c r="F18" s="23" t="str">
        <x:v>Keputusan REFUND; tujuan Buyer; G sebagai dasar refund yang disahkan; M sebagai fee Midtrans order uji; R = G - 3 x M.</x:v>
      </x:c>
      <x:c r="G18" s="23" t="str">
        <x:v>Hanya satu final PAYOUT/REFUND; tanpa transfer nyata.</x:v>
      </x:c>
      <x:c r="H18" s="23" t="str">
        <x:v>Refund mengikuti rumus yang disahkan dan tercatat sekali. Payout/refund final saling eksklusif.</x:v>
      </x:c>
      <x:c r="I18" s="24"/>
      <x:c r="J18" s="25" t="str">
        <x:v>Not Run</x:v>
      </x:c>
    </x:row>
    <x:row r="19" ht="133" customHeight="1">
      <x:c r="A19" s="22" t="str">
        <x:v>TC-20-06</x:v>
      </x:c>
      <x:c r="B19" s="23" t="str">
        <x:v>TS-20
Refund simulatif</x:v>
      </x:c>
      <x:c r="C19" s="23" t="str">
        <x:v>Potongan refund
Prioritas: P1
Desain: TBD</x:v>
      </x:c>
      <x:c r="D19" s="23" t="str">
        <x:v>Keputusan refund dan tujuan Buyer valid. Dasar bruto refund serta biaya Midtrans untuk order uji harus disahkan.</x:v>
      </x:c>
      <x:c r="E19" s="23" t="str">
        <x:v>1. Gunakan dataset perhitungan G=Rp1.010.000 dan M=Rp4.000 hanya setelah dasar G disahkan untuk order tersebut.</x:v>
      </x:c>
      <x:c r="F19" s="23" t="str">
        <x:v>Keputusan REFUND; tujuan Buyer; G sebagai dasar refund yang disahkan; M sebagai fee Midtrans order uji; R = G - 3 x M.
Nilai khusus: Rp1.010.000; Rp4.000.
TBD: lengkapi aturan/data yang belum disahkan sebelum menjalankan kasus ini.</x:v>
      </x:c>
      <x:c r="G19" s="23" t="str">
        <x:v>Potongan Rp12.000; refund Rp998.000. Ini contoh perhitungan dengan fixture M, bukan tarif resmi Midtrans.</x:v>
      </x:c>
      <x:c r="H19" s="23" t="str">
        <x:v>Refund mengikuti rumus yang disahkan dan tercatat sekali. Payout/refund final saling eksklusif.</x:v>
      </x:c>
      <x:c r="I19" s="24"/>
      <x:c r="J19" s="25" t="str">
        <x:v>Not Run</x:v>
      </x:c>
    </x:row>
    <x:row r="20" ht="107" customHeight="1">
      <x:c r="A20" s="22" t="str">
        <x:v>TC-20-07</x:v>
      </x:c>
      <x:c r="B20" s="23" t="str">
        <x:v>TS-20
Refund simulatif</x:v>
      </x:c>
      <x:c r="C20" s="23" t="str">
        <x:v>Refund negatif
Prioritas: P1
Desain: TBD</x:v>
      </x:c>
      <x:c r="D20" s="23" t="str">
        <x:v>Keputusan refund dan tujuan Buyer valid. Dasar bruto refund serta biaya Midtrans untuk order uji harus disahkan.</x:v>
      </x:c>
      <x:c r="E20" s="23" t="str">
        <x:v>1. Gunakan fixture G lebih kecil daripada 3 x M
2. ajukan settlement.</x:v>
      </x:c>
      <x:c r="F20" s="23" t="str">
        <x:v>Keputusan REFUND; tujuan Buyer; G sebagai dasar refund yang disahkan; M sebagai fee Midtrans order uji; R = G - 3 x M.
TBD: lengkapi aturan/data yang belum disahkan sebelum menjalankan kasus ini.</x:v>
      </x:c>
      <x:c r="G20" s="23" t="str">
        <x:v>Tidak ada transfer atau pencatatan nominal negatif. Perlakuan nol/penolakan mengikuti keputusan D06.</x:v>
      </x:c>
      <x:c r="H20" s="23" t="str">
        <x:v>Refund mengikuti rumus yang disahkan dan tercatat sekali. Payout/refund final saling eksklusif.</x:v>
      </x:c>
      <x:c r="I20" s="24"/>
      <x:c r="J20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0">
    <x:cfRule type="containsText" dxfId="76" priority="1" operator="containsText" text="Pass"/>
    <x:cfRule type="containsText" dxfId="77" priority="2" operator="containsText" text="Fail"/>
    <x:cfRule type="containsText" dxfId="78" priority="3" operator="containsText" text="Blocked"/>
    <x:cfRule type="containsText" dxfId="79" priority="4" operator="containsText" text="Not Run"/>
  </x:conditionalFormatting>
  <x:dataValidations count="1">
    <x:dataValidation type="list" sqref="J14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e71af611f444f7"/>
  </x:tableParts>
</x:worksheet>
</file>

<file path=xl/worksheets/sheet21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TS-21  Status dan riwayat</x:v>
      </x:c>
      <x:c r="B2" s="4" t="str">
        <x:v>TS-21  Status dan riwayat</x:v>
      </x:c>
      <x:c r="C2" s="4" t="str">
        <x:v>TS-21  Status dan riwayat</x:v>
      </x:c>
      <x:c r="D2" s="4" t="str">
        <x:v>TS-21  Status dan riwayat</x:v>
      </x:c>
      <x:c r="E2" s="4" t="str">
        <x:v>TS-21  Status dan riwayat</x:v>
      </x:c>
      <x:c r="F2" s="4" t="str">
        <x:v>TS-21  Status dan riwayat</x:v>
      </x:c>
      <x:c r="G2" s="4" t="str">
        <x:v>TS-21  Status dan riwayat</x:v>
      </x:c>
      <x:c r="H2" s="4" t="str">
        <x:v>TS-21  Status dan riwayat</x:v>
      </x:c>
      <x:c r="I2" s="4" t="str">
        <x:v>TS-21  Status dan riwayat</x:v>
      </x:c>
      <x:c r="J2" s="4" t="str">
        <x:v>TS-21  Status dan riwayat</x:v>
      </x:c>
    </x:row>
    <x:row r="3" ht="20" customHeight="1">
      <x:c r="A3" s="5" t="str">
        <x:v>TC-21-01 sampai TC-21-05  |  5 test case  |  Rancangan revisi 0.2</x:v>
      </x:c>
      <x:c r="B3" s="5" t="str">
        <x:v>TC-21-01 sampai TC-21-05  |  5 test case  |  Rancangan revisi 0.2</x:v>
      </x:c>
      <x:c r="C3" s="5" t="str">
        <x:v>TC-21-01 sampai TC-21-05  |  5 test case  |  Rancangan revisi 0.2</x:v>
      </x:c>
      <x:c r="D3" s="5" t="str">
        <x:v>TC-21-01 sampai TC-21-05  |  5 test case  |  Rancangan revisi 0.2</x:v>
      </x:c>
      <x:c r="E3" s="5" t="str">
        <x:v>TC-21-01 sampai TC-21-05  |  5 test case  |  Rancangan revisi 0.2</x:v>
      </x:c>
      <x:c r="F3" s="5" t="str">
        <x:v>TC-21-01 sampai TC-21-05  |  5 test case  |  Rancangan revisi 0.2</x:v>
      </x:c>
      <x:c r="G3" s="5" t="str">
        <x:v>TC-21-01 sampai TC-21-05  |  5 test case  |  Rancangan revisi 0.2</x:v>
      </x:c>
      <x:c r="H3" s="5" t="str">
        <x:v>TC-21-01 sampai TC-21-05  |  5 test case  |  Rancangan revisi 0.2</x:v>
      </x:c>
      <x:c r="I3" s="5" t="str">
        <x:v>TC-21-01 sampai TC-21-05  |  5 test case  |  Rancangan revisi 0.2</x:v>
      </x:c>
      <x:c r="J3" s="5" t="str">
        <x:v>TC-21-01 sampai TC-21-05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Status dan riwayat</x:v>
      </x:c>
      <x:c r="D5" s="3" t="str">
        <x:v>Status dan riwayat</x:v>
      </x:c>
      <x:c r="E5" s="3" t="str">
        <x:v>Status dan riwayat</x:v>
      </x:c>
      <x:c r="F5" s="3" t="str">
        <x:v>Status dan riwayat</x:v>
      </x:c>
      <x:c r="G5" s="7" t="str">
        <x:v>Scenario ID</x:v>
      </x:c>
      <x:c r="H5" s="7" t="str">
        <x:v>Scenario ID</x:v>
      </x:c>
      <x:c r="I5" s="3" t="str">
        <x:v>TS-21</x:v>
      </x:c>
      <x:c r="J5" s="3" t="str">
        <x:v>TS-21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TC-21-01</x:v>
      </x:c>
      <x:c r="B14" s="23" t="str">
        <x:v>TS-21
Status dan riwayat</x:v>
      </x:c>
      <x:c r="C14" s="23" t="str">
        <x:v>Daftar pihak terkait
Prioritas: P1
Desain: Review</x:v>
      </x:c>
      <x:c r="D14" s="23" t="str">
        <x:v>Transaksi berbagai tahap; akun terkait/nonpihak tersedia.</x:v>
      </x:c>
      <x:c r="E14" s="23" t="str">
        <x:v>1. Buyer/Seller membuka daftar dan detail miliknya.</x:v>
      </x:c>
      <x:c r="F14" s="23" t="str">
        <x:v>Transaksi milik A-B pada PAID/CONFIRMED/COMPLETED/REFUNDED; nonpihak C; history dan audit fixture.</x:v>
      </x:c>
      <x:c r="G14" s="23" t="str">
        <x:v>Hanya transaksi berhak; rincian konsisten.</x:v>
      </x:c>
      <x:c r="H14" s="23" t="str">
        <x:v>Riwayat dan status konsisten; nonpihak tidak memperoleh transaksi, rekening, bukti atau hasil privat.</x:v>
      </x:c>
      <x:c r="I14" s="24"/>
      <x:c r="J14" s="25" t="str">
        <x:v>Not Run</x:v>
      </x:c>
    </x:row>
    <x:row r="15" ht="100" customHeight="1">
      <x:c r="A15" s="22" t="str">
        <x:v>TC-21-02</x:v>
      </x:c>
      <x:c r="B15" s="23" t="str">
        <x:v>TS-21
Status dan riwayat</x:v>
      </x:c>
      <x:c r="C15" s="23" t="str">
        <x:v>Pemantauan Admin
Prioritas: P1
Desain: Review</x:v>
      </x:c>
      <x:c r="D15" s="23" t="str">
        <x:v>Transaksi berbagai tahap; akun terkait/nonpihak tersedia.</x:v>
      </x:c>
      <x:c r="E15" s="23" t="str">
        <x:v>1. Admin membuka transaksi dalam kewenangannya.</x:v>
      </x:c>
      <x:c r="F15" s="23" t="str">
        <x:v>Transaksi milik A-B pada PAID/CONFIRMED/COMPLETED/REFUNDED; nonpihak C; history dan audit fixture.</x:v>
      </x:c>
      <x:c r="G15" s="23" t="str">
        <x:v>Data operasional sesuai akses tersedia.</x:v>
      </x:c>
      <x:c r="H15" s="23" t="str">
        <x:v>Riwayat dan status konsisten; nonpihak tidak memperoleh transaksi, rekening, bukti atau hasil privat.</x:v>
      </x:c>
      <x:c r="I15" s="24"/>
      <x:c r="J15" s="25" t="str">
        <x:v>Not Run</x:v>
      </x:c>
    </x:row>
    <x:row r="16" ht="100" customHeight="1">
      <x:c r="A16" s="22" t="str">
        <x:v>TC-21-03</x:v>
      </x:c>
      <x:c r="B16" s="23" t="str">
        <x:v>TS-21
Status dan riwayat</x:v>
      </x:c>
      <x:c r="C16" s="23" t="str">
        <x:v>Akses nonpihak
Prioritas: P1
Desain: Review</x:v>
      </x:c>
      <x:c r="D16" s="23" t="str">
        <x:v>Transaksi berbagai tahap; akun terkait/nonpihak tersedia.</x:v>
      </x:c>
      <x:c r="E16" s="23" t="str">
        <x:v>1. Ubah ID URL/request memakai akun lain.</x:v>
      </x:c>
      <x:c r="F16" s="23" t="str">
        <x:v>Transaksi milik A-B pada PAID/CONFIRMED/COMPLETED/REFUNDED; nonpihak C; history dan audit fixture.</x:v>
      </x:c>
      <x:c r="G16" s="23" t="str">
        <x:v>Transaksi, rekening, hasil/bukti privat tidak terbuka.</x:v>
      </x:c>
      <x:c r="H16" s="23" t="str">
        <x:v>Riwayat dan status konsisten; nonpihak tidak memperoleh transaksi, rekening, bukti atau hasil privat.</x:v>
      </x:c>
      <x:c r="I16" s="24"/>
      <x:c r="J16" s="25" t="str">
        <x:v>Not Run</x:v>
      </x:c>
    </x:row>
    <x:row r="17" ht="100" customHeight="1">
      <x:c r="A17" s="22" t="str">
        <x:v>TC-21-04</x:v>
      </x:c>
      <x:c r="B17" s="23" t="str">
        <x:v>TS-21
Status dan riwayat</x:v>
      </x:c>
      <x:c r="C17" s="23" t="str">
        <x:v>Riwayat dan audit
Prioritas: P1
Desain: Review</x:v>
      </x:c>
      <x:c r="D17" s="23" t="str">
        <x:v>Transaksi berbagai tahap; akun terkait/nonpihak tersedia.</x:v>
      </x:c>
      <x:c r="E17" s="23" t="str">
        <x:v>1. Lakukan perubahan sah
2. periksa status/history/audit.</x:v>
      </x:c>
      <x:c r="F17" s="23" t="str">
        <x:v>Transaksi milik A-B pada PAID/CONFIRMED/COMPLETED/REFUNDED; nonpihak C; history dan audit fixture.</x:v>
      </x:c>
      <x:c r="G17" s="23" t="str">
        <x:v>Urutan, from/to, pelaku/sistem, waktu/tindakan konsisten.</x:v>
      </x:c>
      <x:c r="H17" s="23" t="str">
        <x:v>Riwayat dan status konsisten; nonpihak tidak memperoleh transaksi, rekening, bukti atau hasil privat.</x:v>
      </x:c>
      <x:c r="I17" s="24"/>
      <x:c r="J17" s="25" t="str">
        <x:v>Not Run</x:v>
      </x:c>
    </x:row>
    <x:row r="18" ht="100" customHeight="1">
      <x:c r="A18" s="22" t="str">
        <x:v>TC-21-05</x:v>
      </x:c>
      <x:c r="B18" s="23" t="str">
        <x:v>TS-21
Status dan riwayat</x:v>
      </x:c>
      <x:c r="C18" s="23" t="str">
        <x:v>Perbedaan tahap
Prioritas: P1
Desain: Review</x:v>
      </x:c>
      <x:c r="D18" s="23" t="str">
        <x:v>Transaksi berbagai tahap; akun terkait/nonpihak tersedia.</x:v>
      </x:c>
      <x:c r="E18" s="23" t="str">
        <x:v>1. Bandingkan PAID, CONFIRMED, COMPLETED, REFUNDED
2. buka daftar kosong.</x:v>
      </x:c>
      <x:c r="F18" s="23" t="str">
        <x:v>Transaksi milik A-B pada PAID/CONFIRMED/COMPLETED/REFUNDED; nonpihak C; history dan audit fixture.</x:v>
      </x:c>
      <x:c r="G18" s="23" t="str">
        <x:v>Tahap dibedakan jelas; keadaan kosong tertangani.</x:v>
      </x:c>
      <x:c r="H18" s="23" t="str">
        <x:v>Riwayat dan status konsisten; nonpihak tidak memperoleh transaksi, rekening, bukti atau hasil privat.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80" priority="1" operator="containsText" text="Pass"/>
    <x:cfRule type="containsText" dxfId="81" priority="2" operator="containsText" text="Fail"/>
    <x:cfRule type="containsText" dxfId="82" priority="3" operator="containsText" text="Blocked"/>
    <x:cfRule type="containsText" dxfId="83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e62fc286b44d70"/>
  </x:tableParts>
</x:worksheet>
</file>

<file path=xl/worksheets/sheet22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TS-22  Notifikasi</x:v>
      </x:c>
      <x:c r="B2" s="4" t="str">
        <x:v>TS-22  Notifikasi</x:v>
      </x:c>
      <x:c r="C2" s="4" t="str">
        <x:v>TS-22  Notifikasi</x:v>
      </x:c>
      <x:c r="D2" s="4" t="str">
        <x:v>TS-22  Notifikasi</x:v>
      </x:c>
      <x:c r="E2" s="4" t="str">
        <x:v>TS-22  Notifikasi</x:v>
      </x:c>
      <x:c r="F2" s="4" t="str">
        <x:v>TS-22  Notifikasi</x:v>
      </x:c>
      <x:c r="G2" s="4" t="str">
        <x:v>TS-22  Notifikasi</x:v>
      </x:c>
      <x:c r="H2" s="4" t="str">
        <x:v>TS-22  Notifikasi</x:v>
      </x:c>
      <x:c r="I2" s="4" t="str">
        <x:v>TS-22  Notifikasi</x:v>
      </x:c>
      <x:c r="J2" s="4" t="str">
        <x:v>TS-22  Notifikasi</x:v>
      </x:c>
    </x:row>
    <x:row r="3" ht="20" customHeight="1">
      <x:c r="A3" s="5" t="str">
        <x:v>TC-22-01 sampai TC-22-05  |  5 test case  |  Rancangan revisi 0.2</x:v>
      </x:c>
      <x:c r="B3" s="5" t="str">
        <x:v>TC-22-01 sampai TC-22-05  |  5 test case  |  Rancangan revisi 0.2</x:v>
      </x:c>
      <x:c r="C3" s="5" t="str">
        <x:v>TC-22-01 sampai TC-22-05  |  5 test case  |  Rancangan revisi 0.2</x:v>
      </x:c>
      <x:c r="D3" s="5" t="str">
        <x:v>TC-22-01 sampai TC-22-05  |  5 test case  |  Rancangan revisi 0.2</x:v>
      </x:c>
      <x:c r="E3" s="5" t="str">
        <x:v>TC-22-01 sampai TC-22-05  |  5 test case  |  Rancangan revisi 0.2</x:v>
      </x:c>
      <x:c r="F3" s="5" t="str">
        <x:v>TC-22-01 sampai TC-22-05  |  5 test case  |  Rancangan revisi 0.2</x:v>
      </x:c>
      <x:c r="G3" s="5" t="str">
        <x:v>TC-22-01 sampai TC-22-05  |  5 test case  |  Rancangan revisi 0.2</x:v>
      </x:c>
      <x:c r="H3" s="5" t="str">
        <x:v>TC-22-01 sampai TC-22-05  |  5 test case  |  Rancangan revisi 0.2</x:v>
      </x:c>
      <x:c r="I3" s="5" t="str">
        <x:v>TC-22-01 sampai TC-22-05  |  5 test case  |  Rancangan revisi 0.2</x:v>
      </x:c>
      <x:c r="J3" s="5" t="str">
        <x:v>TC-22-01 sampai TC-22-05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Notifikasi</x:v>
      </x:c>
      <x:c r="D5" s="3" t="str">
        <x:v>Notifikasi</x:v>
      </x:c>
      <x:c r="E5" s="3" t="str">
        <x:v>Notifikasi</x:v>
      </x:c>
      <x:c r="F5" s="3" t="str">
        <x:v>Notifikasi</x:v>
      </x:c>
      <x:c r="G5" s="7" t="str">
        <x:v>Scenario ID</x:v>
      </x:c>
      <x:c r="H5" s="7" t="str">
        <x:v>Scenario ID</x:v>
      </x:c>
      <x:c r="I5" s="3" t="str">
        <x:v>TS-22</x:v>
      </x:c>
      <x:c r="J5" s="3" t="str">
        <x:v>TS-22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TC-22-01</x:v>
      </x:c>
      <x:c r="B14" s="23" t="str">
        <x:v>TS-22
Notifikasi</x:v>
      </x:c>
      <x:c r="C14" s="23" t="str">
        <x:v>Penerima dan event
Prioritas: P2
Desain: Review</x:v>
      </x:c>
      <x:c r="D14" s="23" t="str">
        <x:v>Event payment, penyerahan, komplain, konfirmasi, settlement tersedia.</x:v>
      </x:c>
      <x:c r="E14" s="23" t="str">
        <x:v>1. Jalankan tiap event penting
2. cek penerima.</x:v>
      </x:c>
      <x:c r="F14" s="23" t="str">
        <x:v>Event payment, penyerahan, komplain, konfirmasi dan settlement; notifikasi milik A/B, akun tanpa notifikasi, akun nonpihak C.</x:v>
      </x:c>
      <x:c r="G14" s="23" t="str">
        <x:v>Jenis/waktu/pesan/rujukan benar; hanya pihak relevan.</x:v>
      </x:c>
      <x:c r="H14" s="23" t="str">
        <x:v>Notifikasi/read_at hanya berubah untuk penerima yang benar; event ulang tidak menggandakan notifikasi bisnis.</x:v>
      </x:c>
      <x:c r="I14" s="24"/>
      <x:c r="J14" s="25" t="str">
        <x:v>Not Run</x:v>
      </x:c>
    </x:row>
    <x:row r="15" ht="100" customHeight="1">
      <x:c r="A15" s="22" t="str">
        <x:v>TC-22-02</x:v>
      </x:c>
      <x:c r="B15" s="23" t="str">
        <x:v>TS-22
Notifikasi</x:v>
      </x:c>
      <x:c r="C15" s="23" t="str">
        <x:v>Status baca
Prioritas: P2
Desain: Review</x:v>
      </x:c>
      <x:c r="D15" s="23" t="str">
        <x:v>Event payment, penyerahan, komplain, konfirmasi, settlement tersedia.</x:v>
      </x:c>
      <x:c r="E15" s="23" t="str">
        <x:v>1. Buka notifikasi belum dibaca.</x:v>
      </x:c>
      <x:c r="F15" s="23" t="str">
        <x:v>Event payment, penyerahan, komplain, konfirmasi dan settlement; notifikasi milik A/B, akun tanpa notifikasi, akun nonpihak C.</x:v>
      </x:c>
      <x:c r="G15" s="23" t="str">
        <x:v>read_at berubah hanya pada notifikasi miliknya.</x:v>
      </x:c>
      <x:c r="H15" s="23" t="str">
        <x:v>Notifikasi/read_at hanya berubah untuk penerima yang benar; event ulang tidak menggandakan notifikasi bisnis.</x:v>
      </x:c>
      <x:c r="I15" s="24"/>
      <x:c r="J15" s="25" t="str">
        <x:v>Not Run</x:v>
      </x:c>
    </x:row>
    <x:row r="16" ht="100" customHeight="1">
      <x:c r="A16" s="22" t="str">
        <x:v>TC-22-03</x:v>
      </x:c>
      <x:c r="B16" s="23" t="str">
        <x:v>TS-22
Notifikasi</x:v>
      </x:c>
      <x:c r="C16" s="23" t="str">
        <x:v>Tanpa notifikasi
Prioritas: P2
Desain: Review</x:v>
      </x:c>
      <x:c r="D16" s="23" t="str">
        <x:v>Event payment, penyerahan, komplain, konfirmasi, settlement tersedia.</x:v>
      </x:c>
      <x:c r="E16" s="23" t="str">
        <x:v>1. Buka akun tanpa notifikasi.</x:v>
      </x:c>
      <x:c r="F16" s="23" t="str">
        <x:v>Event payment, penyerahan, komplain, konfirmasi dan settlement; notifikasi milik A/B, akun tanpa notifikasi, akun nonpihak C.</x:v>
      </x:c>
      <x:c r="G16" s="23" t="str">
        <x:v>Keadaan kosong jelas.</x:v>
      </x:c>
      <x:c r="H16" s="23" t="str">
        <x:v>Notifikasi/read_at hanya berubah untuk penerima yang benar; event ulang tidak menggandakan notifikasi bisnis.</x:v>
      </x:c>
      <x:c r="I16" s="24"/>
      <x:c r="J16" s="25" t="str">
        <x:v>Not Run</x:v>
      </x:c>
    </x:row>
    <x:row r="17" ht="100" customHeight="1">
      <x:c r="A17" s="22" t="str">
        <x:v>TC-22-04</x:v>
      </x:c>
      <x:c r="B17" s="23" t="str">
        <x:v>TS-22
Notifikasi</x:v>
      </x:c>
      <x:c r="C17" s="23" t="str">
        <x:v>Akses pihak lain
Prioritas: P2
Desain: Review</x:v>
      </x:c>
      <x:c r="D17" s="23" t="str">
        <x:v>Event payment, penyerahan, komplain, konfirmasi, settlement tersedia.</x:v>
      </x:c>
      <x:c r="E17" s="23" t="str">
        <x:v>1. Buka ID notifikasi/rujukan privat dengan akun lain.</x:v>
      </x:c>
      <x:c r="F17" s="23" t="str">
        <x:v>Event payment, penyerahan, komplain, konfirmasi dan settlement; notifikasi milik A/B, akun tanpa notifikasi, akun nonpihak C.</x:v>
      </x:c>
      <x:c r="G17" s="23" t="str">
        <x:v>Ditolak.</x:v>
      </x:c>
      <x:c r="H17" s="23" t="str">
        <x:v>Notifikasi/read_at hanya berubah untuk penerima yang benar; event ulang tidak menggandakan notifikasi bisnis.</x:v>
      </x:c>
      <x:c r="I17" s="24"/>
      <x:c r="J17" s="25" t="str">
        <x:v>Not Run</x:v>
      </x:c>
    </x:row>
    <x:row r="18" ht="100" customHeight="1">
      <x:c r="A18" s="22" t="str">
        <x:v>TC-22-05</x:v>
      </x:c>
      <x:c r="B18" s="23" t="str">
        <x:v>TS-22
Notifikasi</x:v>
      </x:c>
      <x:c r="C18" s="23" t="str">
        <x:v>Event ulang
Prioritas: P2
Desain: Review</x:v>
      </x:c>
      <x:c r="D18" s="23" t="str">
        <x:v>Event payment, penyerahan, komplain, konfirmasi, settlement tersedia.</x:v>
      </x:c>
      <x:c r="E18" s="23" t="str">
        <x:v>1. Proses ulang event/callback sama.</x:v>
      </x:c>
      <x:c r="F18" s="23" t="str">
        <x:v>Event payment, penyerahan, komplain, konfirmasi dan settlement; notifikasi milik A/B, akun tanpa notifikasi, akun nonpihak C.</x:v>
      </x:c>
      <x:c r="G18" s="23" t="str">
        <x:v>Tidak ada notifikasi bisnis ganda; siap payout bukan payout selesai.</x:v>
      </x:c>
      <x:c r="H18" s="23" t="str">
        <x:v>Notifikasi/read_at hanya berubah untuk penerima yang benar; event ulang tidak menggandakan notifikasi bisnis.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84" priority="1" operator="containsText" text="Pass"/>
    <x:cfRule type="containsText" dxfId="85" priority="2" operator="containsText" text="Fail"/>
    <x:cfRule type="containsText" dxfId="86" priority="3" operator="containsText" text="Blocked"/>
    <x:cfRule type="containsText" dxfId="87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ad474fab324d66"/>
  </x:tableParts>
</x:worksheet>
</file>

<file path=xl/worksheets/sheet23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TS-23  Kontribusi dan reputasi</x:v>
      </x:c>
      <x:c r="B2" s="4" t="str">
        <x:v>TS-23  Kontribusi dan reputasi</x:v>
      </x:c>
      <x:c r="C2" s="4" t="str">
        <x:v>TS-23  Kontribusi dan reputasi</x:v>
      </x:c>
      <x:c r="D2" s="4" t="str">
        <x:v>TS-23  Kontribusi dan reputasi</x:v>
      </x:c>
      <x:c r="E2" s="4" t="str">
        <x:v>TS-23  Kontribusi dan reputasi</x:v>
      </x:c>
      <x:c r="F2" s="4" t="str">
        <x:v>TS-23  Kontribusi dan reputasi</x:v>
      </x:c>
      <x:c r="G2" s="4" t="str">
        <x:v>TS-23  Kontribusi dan reputasi</x:v>
      </x:c>
      <x:c r="H2" s="4" t="str">
        <x:v>TS-23  Kontribusi dan reputasi</x:v>
      </x:c>
      <x:c r="I2" s="4" t="str">
        <x:v>TS-23  Kontribusi dan reputasi</x:v>
      </x:c>
      <x:c r="J2" s="4" t="str">
        <x:v>TS-23  Kontribusi dan reputasi</x:v>
      </x:c>
    </x:row>
    <x:row r="3" ht="20" customHeight="1">
      <x:c r="A3" s="5" t="str">
        <x:v>TC-23-01 sampai TC-23-05  |  5 test case  |  Rancangan revisi 0.2</x:v>
      </x:c>
      <x:c r="B3" s="5" t="str">
        <x:v>TC-23-01 sampai TC-23-05  |  5 test case  |  Rancangan revisi 0.2</x:v>
      </x:c>
      <x:c r="C3" s="5" t="str">
        <x:v>TC-23-01 sampai TC-23-05  |  5 test case  |  Rancangan revisi 0.2</x:v>
      </x:c>
      <x:c r="D3" s="5" t="str">
        <x:v>TC-23-01 sampai TC-23-05  |  5 test case  |  Rancangan revisi 0.2</x:v>
      </x:c>
      <x:c r="E3" s="5" t="str">
        <x:v>TC-23-01 sampai TC-23-05  |  5 test case  |  Rancangan revisi 0.2</x:v>
      </x:c>
      <x:c r="F3" s="5" t="str">
        <x:v>TC-23-01 sampai TC-23-05  |  5 test case  |  Rancangan revisi 0.2</x:v>
      </x:c>
      <x:c r="G3" s="5" t="str">
        <x:v>TC-23-01 sampai TC-23-05  |  5 test case  |  Rancangan revisi 0.2</x:v>
      </x:c>
      <x:c r="H3" s="5" t="str">
        <x:v>TC-23-01 sampai TC-23-05  |  5 test case  |  Rancangan revisi 0.2</x:v>
      </x:c>
      <x:c r="I3" s="5" t="str">
        <x:v>TC-23-01 sampai TC-23-05  |  5 test case  |  Rancangan revisi 0.2</x:v>
      </x:c>
      <x:c r="J3" s="5" t="str">
        <x:v>TC-23-01 sampai TC-23-05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Kontribusi dan reputasi</x:v>
      </x:c>
      <x:c r="D5" s="3" t="str">
        <x:v>Kontribusi dan reputasi</x:v>
      </x:c>
      <x:c r="E5" s="3" t="str">
        <x:v>Kontribusi dan reputasi</x:v>
      </x:c>
      <x:c r="F5" s="3" t="str">
        <x:v>Kontribusi dan reputasi</x:v>
      </x:c>
      <x:c r="G5" s="7" t="str">
        <x:v>Scenario ID</x:v>
      </x:c>
      <x:c r="H5" s="7" t="str">
        <x:v>Scenario ID</x:v>
      </x:c>
      <x:c r="I5" s="3" t="str">
        <x:v>TS-23</x:v>
      </x:c>
      <x:c r="J5" s="3" t="str">
        <x:v>TS-23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TC-23-01</x:v>
      </x:c>
      <x:c r="B14" s="23" t="str">
        <x:v>TS-23
Kontribusi dan reputasi</x:v>
      </x:c>
      <x:c r="C14" s="23" t="str">
        <x:v>Total poin
Prioritas: P2
Desain: TBD</x:v>
      </x:c>
      <x:c r="D14" s="23" t="str">
        <x:v>reputation_events tersedia; bobot/visibilitas TBD.</x:v>
      </x:c>
      <x:c r="E14" s="23" t="str">
        <x:v>1. Fixture +10, +5, -3
2. buka indikator.</x:v>
      </x:c>
      <x:c r="F14" s="23" t="str">
        <x:v>reputation_events fixture; poin +10, +5, -3; event_key sama/berbeda; keputusan review dan visibilitas mengikuti D10.
TBD: lengkapi aturan/data yang belum disahkan sebelum menjalankan kasus ini.</x:v>
      </x:c>
      <x:c r="G14" s="23" t="str">
        <x:v>Total 12; arti poin dijelaskan.</x:v>
      </x:c>
      <x:c r="H14" s="23" t="str">
        <x:v>Poin dan label mengikuti event/keputusan sah; event ulang tidak menggandakan poin; bukti privat tetap tertutup.</x:v>
      </x:c>
      <x:c r="I14" s="24"/>
      <x:c r="J14" s="25" t="str">
        <x:v>Not Run</x:v>
      </x:c>
    </x:row>
    <x:row r="15" ht="107" customHeight="1">
      <x:c r="A15" s="22" t="str">
        <x:v>TC-23-02</x:v>
      </x:c>
      <x:c r="B15" s="23" t="str">
        <x:v>TS-23
Kontribusi dan reputasi</x:v>
      </x:c>
      <x:c r="C15" s="23" t="str">
        <x:v>Event transaksi
Prioritas: P2
Desain: TBD</x:v>
      </x:c>
      <x:c r="D15" s="23" t="str">
        <x:v>reputation_events tersedia; bobot/visibilitas TBD.</x:v>
      </x:c>
      <x:c r="E15" s="23" t="str">
        <x:v>1. Selesaikan transaksi memenuhi rule poin.</x:v>
      </x:c>
      <x:c r="F15" s="23" t="str">
        <x:v>reputation_events fixture; poin +10, +5, -3; event_key sama/berbeda; keputusan review dan visibilitas mengikuti D10.
TBD: lengkapi aturan/data yang belum disahkan sebelum menjalankan kasus ini.</x:v>
      </x:c>
      <x:c r="G15" s="23" t="str">
        <x:v>Event sesuai bobot; yang belum memenuhi syarat tidak mendapat poin.</x:v>
      </x:c>
      <x:c r="H15" s="23" t="str">
        <x:v>Poin dan label mengikuti event/keputusan sah; event ulang tidak menggandakan poin; bukti privat tetap tertutup.</x:v>
      </x:c>
      <x:c r="I15" s="24"/>
      <x:c r="J15" s="25" t="str">
        <x:v>Not Run</x:v>
      </x:c>
    </x:row>
    <x:row r="16" ht="107" customHeight="1">
      <x:c r="A16" s="22" t="str">
        <x:v>TC-23-03</x:v>
      </x:c>
      <x:c r="B16" s="23" t="str">
        <x:v>TS-23
Kontribusi dan reputasi</x:v>
      </x:c>
      <x:c r="C16" s="23" t="str">
        <x:v>Event ulang
Prioritas: P2
Desain: TBD</x:v>
      </x:c>
      <x:c r="D16" s="23" t="str">
        <x:v>reputation_events tersedia; bobot/visibilitas TBD.</x:v>
      </x:c>
      <x:c r="E16" s="23" t="str">
        <x:v>1. Proses ulang event transaksi sama.</x:v>
      </x:c>
      <x:c r="F16" s="23" t="str">
        <x:v>reputation_events fixture; poin +10, +5, -3; event_key sama/berbeda; keputusan review dan visibilitas mengikuti D10.
TBD: lengkapi aturan/data yang belum disahkan sebelum menjalankan kasus ini.</x:v>
      </x:c>
      <x:c r="G16" s="23" t="str">
        <x:v>event_key mencegah poin ganda.</x:v>
      </x:c>
      <x:c r="H16" s="23" t="str">
        <x:v>Poin dan label mengikuti event/keputusan sah; event ulang tidak menggandakan poin; bukti privat tetap tertutup.</x:v>
      </x:c>
      <x:c r="I16" s="24"/>
      <x:c r="J16" s="25" t="str">
        <x:v>Not Run</x:v>
      </x:c>
    </x:row>
    <x:row r="17" ht="107" customHeight="1">
      <x:c r="A17" s="22" t="str">
        <x:v>TC-23-04</x:v>
      </x:c>
      <x:c r="B17" s="23" t="str">
        <x:v>TS-23
Kontribusi dan reputasi</x:v>
      </x:c>
      <x:c r="C17" s="23" t="str">
        <x:v>Status terpisah
Prioritas: P2
Desain: TBD</x:v>
      </x:c>
      <x:c r="D17" s="23" t="str">
        <x:v>reputation_events tersedia; bobot/visibilitas TBD.</x:v>
      </x:c>
      <x:c r="E17" s="23" t="str">
        <x:v>1. Uji poin tinggi tanpa keputusan dan akun dengan keputusan.</x:v>
      </x:c>
      <x:c r="F17" s="23" t="str">
        <x:v>reputation_events fixture; poin +10, +5, -3; event_key sama/berbeda; keputusan review dan visibilitas mengikuti D10.
TBD: lengkapi aturan/data yang belum disahkan sebelum menjalankan kasus ini.</x:v>
      </x:c>
      <x:c r="G17" s="23" t="str">
        <x:v>Tanpa keputusan: Belum ditinjau; status mengikuti keputusan terbaru, bukan ambang poin.</x:v>
      </x:c>
      <x:c r="H17" s="23" t="str">
        <x:v>Poin dan label mengikuti event/keputusan sah; event ulang tidak menggandakan poin; bukti privat tetap tertutup.</x:v>
      </x:c>
      <x:c r="I17" s="24"/>
      <x:c r="J17" s="25" t="str">
        <x:v>Not Run</x:v>
      </x:c>
    </x:row>
    <x:row r="18" ht="107" customHeight="1">
      <x:c r="A18" s="22" t="str">
        <x:v>TC-23-05</x:v>
      </x:c>
      <x:c r="B18" s="23" t="str">
        <x:v>TS-23
Kontribusi dan reputasi</x:v>
      </x:c>
      <x:c r="C18" s="23" t="str">
        <x:v>Visibilitas
Prioritas: P2
Desain: TBD</x:v>
      </x:c>
      <x:c r="D18" s="23" t="str">
        <x:v>reputation_events tersedia; bobot/visibilitas TBD.</x:v>
      </x:c>
      <x:c r="E18" s="23" t="str">
        <x:v>1. Buka sebagai pemilik, pengguna lain, Admin.</x:v>
      </x:c>
      <x:c r="F18" s="23" t="str">
        <x:v>reputation_events fixture; poin +10, +5, -3; event_key sama/berbeda; keputusan review dan visibilitas mengikuti D10.
TBD: lengkapi aturan/data yang belum disahkan sebelum menjalankan kasus ini.</x:v>
      </x:c>
      <x:c r="G18" s="23" t="str">
        <x:v>Sesuai kebijakan; bukti/alasan privat tidak bocor.</x:v>
      </x:c>
      <x:c r="H18" s="23" t="str">
        <x:v>Poin dan label mengikuti event/keputusan sah; event ulang tidak menggandakan poin; bukti privat tetap tertutup.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88" priority="1" operator="containsText" text="Pass"/>
    <x:cfRule type="containsText" dxfId="89" priority="2" operator="containsText" text="Fail"/>
    <x:cfRule type="containsText" dxfId="90" priority="3" operator="containsText" text="Blocked"/>
    <x:cfRule type="containsText" dxfId="91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fb26770b99447a"/>
  </x:tableParts>
</x:worksheet>
</file>

<file path=xl/worksheets/sheet24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TS-24  Peninjauan akun</x:v>
      </x:c>
      <x:c r="B2" s="4" t="str">
        <x:v>TS-24  Peninjauan akun</x:v>
      </x:c>
      <x:c r="C2" s="4" t="str">
        <x:v>TS-24  Peninjauan akun</x:v>
      </x:c>
      <x:c r="D2" s="4" t="str">
        <x:v>TS-24  Peninjauan akun</x:v>
      </x:c>
      <x:c r="E2" s="4" t="str">
        <x:v>TS-24  Peninjauan akun</x:v>
      </x:c>
      <x:c r="F2" s="4" t="str">
        <x:v>TS-24  Peninjauan akun</x:v>
      </x:c>
      <x:c r="G2" s="4" t="str">
        <x:v>TS-24  Peninjauan akun</x:v>
      </x:c>
      <x:c r="H2" s="4" t="str">
        <x:v>TS-24  Peninjauan akun</x:v>
      </x:c>
      <x:c r="I2" s="4" t="str">
        <x:v>TS-24  Peninjauan akun</x:v>
      </x:c>
      <x:c r="J2" s="4" t="str">
        <x:v>TS-24  Peninjauan akun</x:v>
      </x:c>
    </x:row>
    <x:row r="3" ht="20" customHeight="1">
      <x:c r="A3" s="5" t="str">
        <x:v>TC-24-01 sampai TC-24-06  |  6 test case  |  Rancangan revisi 0.2</x:v>
      </x:c>
      <x:c r="B3" s="5" t="str">
        <x:v>TC-24-01 sampai TC-24-06  |  6 test case  |  Rancangan revisi 0.2</x:v>
      </x:c>
      <x:c r="C3" s="5" t="str">
        <x:v>TC-24-01 sampai TC-24-06  |  6 test case  |  Rancangan revisi 0.2</x:v>
      </x:c>
      <x:c r="D3" s="5" t="str">
        <x:v>TC-24-01 sampai TC-24-06  |  6 test case  |  Rancangan revisi 0.2</x:v>
      </x:c>
      <x:c r="E3" s="5" t="str">
        <x:v>TC-24-01 sampai TC-24-06  |  6 test case  |  Rancangan revisi 0.2</x:v>
      </x:c>
      <x:c r="F3" s="5" t="str">
        <x:v>TC-24-01 sampai TC-24-06  |  6 test case  |  Rancangan revisi 0.2</x:v>
      </x:c>
      <x:c r="G3" s="5" t="str">
        <x:v>TC-24-01 sampai TC-24-06  |  6 test case  |  Rancangan revisi 0.2</x:v>
      </x:c>
      <x:c r="H3" s="5" t="str">
        <x:v>TC-24-01 sampai TC-24-06  |  6 test case  |  Rancangan revisi 0.2</x:v>
      </x:c>
      <x:c r="I3" s="5" t="str">
        <x:v>TC-24-01 sampai TC-24-06  |  6 test case  |  Rancangan revisi 0.2</x:v>
      </x:c>
      <x:c r="J3" s="5" t="str">
        <x:v>TC-24-01 sampai TC-24-06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Peninjauan akun</x:v>
      </x:c>
      <x:c r="D5" s="3" t="str">
        <x:v>Peninjauan akun</x:v>
      </x:c>
      <x:c r="E5" s="3" t="str">
        <x:v>Peninjauan akun</x:v>
      </x:c>
      <x:c r="F5" s="3" t="str">
        <x:v>Peninjauan akun</x:v>
      </x:c>
      <x:c r="G5" s="7" t="str">
        <x:v>Scenario ID</x:v>
      </x:c>
      <x:c r="H5" s="7" t="str">
        <x:v>Scenario ID</x:v>
      </x:c>
      <x:c r="I5" s="3" t="str">
        <x:v>TS-24</x:v>
      </x:c>
      <x:c r="J5" s="3" t="str">
        <x:v>TS-24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TC-24-01</x:v>
      </x:c>
      <x:c r="B14" s="23" t="str">
        <x:v>TS-24
Peninjauan akun</x:v>
      </x:c>
      <x:c r="C14" s="23" t="str">
        <x:v>Laporan valid
Prioritas: P2
Desain: TBD</x:v>
      </x:c>
      <x:c r="D14" s="23" t="str">
        <x:v>Target, laporan, bukti tersedia; pengajuan laporan alur pendukung.</x:v>
      </x:c>
      <x:c r="E14" s="23" t="str">
        <x:v>1. Isi target/alasan/bukti melalui alur yang disepakati.</x:v>
      </x:c>
      <x:c r="F14" s="23" t="str">
        <x:v>Pelapor, target akun dan Admin QA; alasan serta bukti laporan; kasus OPEN dan keputusan review fixture.
TBD: lengkapi aturan/data yang belum disahkan sebelum menjalankan kasus ini.</x:v>
      </x:c>
      <x:c r="G14" s="23" t="str">
        <x:v>Sumber, pelapor, target/konteks benar tersimpan.</x:v>
      </x:c>
      <x:c r="H14" s="23" t="str">
        <x:v>Keputusan review hanya oleh Admin berwenang; laporan belum terbukti tidak otomatis memberi label problematik.</x:v>
      </x:c>
      <x:c r="I14" s="24"/>
      <x:c r="J14" s="25" t="str">
        <x:v>Not Run</x:v>
      </x:c>
    </x:row>
    <x:row r="15" ht="107" customHeight="1">
      <x:c r="A15" s="22" t="str">
        <x:v>TC-24-02</x:v>
      </x:c>
      <x:c r="B15" s="23" t="str">
        <x:v>TS-24
Peninjauan akun</x:v>
      </x:c>
      <x:c r="C15" s="23" t="str">
        <x:v>Laporan tidak valid
Prioritas: P2
Desain: TBD</x:v>
      </x:c>
      <x:c r="D15" s="23" t="str">
        <x:v>Target, laporan, bukti tersedia; pengajuan laporan alur pendukung.</x:v>
      </x:c>
      <x:c r="E15" s="23" t="str">
        <x:v>1. Uji target tidak ada, alasan/bukti wajib kosong.</x:v>
      </x:c>
      <x:c r="F15" s="23" t="str">
        <x:v>Pelapor, target akun dan Admin QA; alasan serta bukti laporan; kasus OPEN dan keputusan review fixture.
TBD: lengkapi aturan/data yang belum disahkan sebelum menjalankan kasus ini.</x:v>
      </x:c>
      <x:c r="G15" s="23" t="str">
        <x:v>Ditolak tanpa kasus tidak konsisten.</x:v>
      </x:c>
      <x:c r="H15" s="23" t="str">
        <x:v>Keputusan review hanya oleh Admin berwenang; laporan belum terbukti tidak otomatis memberi label problematik.</x:v>
      </x:c>
      <x:c r="I15" s="24"/>
      <x:c r="J15" s="25" t="str">
        <x:v>Not Run</x:v>
      </x:c>
    </x:row>
    <x:row r="16" ht="107" customHeight="1">
      <x:c r="A16" s="22" t="str">
        <x:v>TC-24-03</x:v>
      </x:c>
      <x:c r="B16" s="23" t="str">
        <x:v>TS-24
Peninjauan akun</x:v>
      </x:c>
      <x:c r="C16" s="23" t="str">
        <x:v>Review Admin
Prioritas: P2
Desain: TBD</x:v>
      </x:c>
      <x:c r="D16" s="23" t="str">
        <x:v>Target, laporan, bukti tersedia; pengajuan laporan alur pendukung.</x:v>
      </x:c>
      <x:c r="E16" s="23" t="str">
        <x:v>1. Admin membuka laporan/konteks/bukti.</x:v>
      </x:c>
      <x:c r="F16" s="23" t="str">
        <x:v>Pelapor, target akun dan Admin QA; alasan serta bukti laporan; kasus OPEN dan keputusan review fixture.
TBD: lengkapi aturan/data yang belum disahkan sebelum menjalankan kasus ini.</x:v>
      </x:c>
      <x:c r="G16" s="23" t="str">
        <x:v>Informasi diperlukan tersedia; akses dibatasi.</x:v>
      </x:c>
      <x:c r="H16" s="23" t="str">
        <x:v>Keputusan review hanya oleh Admin berwenang; laporan belum terbukti tidak otomatis memberi label problematik.</x:v>
      </x:c>
      <x:c r="I16" s="24"/>
      <x:c r="J16" s="25" t="str">
        <x:v>Not Run</x:v>
      </x:c>
    </x:row>
    <x:row r="17" ht="107" customHeight="1">
      <x:c r="A17" s="22" t="str">
        <x:v>TC-24-04</x:v>
      </x:c>
      <x:c r="B17" s="23" t="str">
        <x:v>TS-24
Peninjauan akun</x:v>
      </x:c>
      <x:c r="C17" s="23" t="str">
        <x:v>Keputusan review
Prioritas: P2
Desain: TBD</x:v>
      </x:c>
      <x:c r="D17" s="23" t="str">
        <x:v>Target, laporan, bukti tersedia; pengajuan laporan alur pendukung.</x:v>
      </x:c>
      <x:c r="E17" s="23" t="str">
        <x:v>1. Selesaikan/tolak laporan
2. tetapkan status bila perlu
3. isi alasan.</x:v>
      </x:c>
      <x:c r="F17" s="23" t="str">
        <x:v>Pelapor, target akun dan Admin QA; alasan serta bukti laporan; kasus OPEN dan keputusan review fixture.
TBD: lengkapi aturan/data yang belum disahkan sebelum menjalankan kasus ini.</x:v>
      </x:c>
      <x:c r="G17" s="23" t="str">
        <x:v>Keputusan/alasan/pelaku/waktu dan event terkait tercatat.</x:v>
      </x:c>
      <x:c r="H17" s="23" t="str">
        <x:v>Keputusan review hanya oleh Admin berwenang; laporan belum terbukti tidak otomatis memberi label problematik.</x:v>
      </x:c>
      <x:c r="I17" s="24"/>
      <x:c r="J17" s="25" t="str">
        <x:v>Not Run</x:v>
      </x:c>
    </x:row>
    <x:row r="18" ht="107" customHeight="1">
      <x:c r="A18" s="22" t="str">
        <x:v>TC-24-05</x:v>
      </x:c>
      <x:c r="B18" s="23" t="str">
        <x:v>TS-24
Peninjauan akun</x:v>
      </x:c>
      <x:c r="C18" s="23" t="str">
        <x:v>Belum terbukti
Prioritas: P2
Desain: TBD</x:v>
      </x:c>
      <x:c r="D18" s="23" t="str">
        <x:v>Target, laporan, bukti tersedia; pengajuan laporan alur pendukung.</x:v>
      </x:c>
      <x:c r="E18" s="23" t="str">
        <x:v>1. Buat laporan OPEN
2. periksa profil.</x:v>
      </x:c>
      <x:c r="F18" s="23" t="str">
        <x:v>Pelapor, target akun dan Admin QA; alasan serta bukti laporan; kasus OPEN dan keputusan review fixture.
TBD: lengkapi aturan/data yang belum disahkan sebelum menjalankan kasus ini.</x:v>
      </x:c>
      <x:c r="G18" s="23" t="str">
        <x:v>Tidak otomatis mengurangi poin/memberi label PROBLEMATIC.</x:v>
      </x:c>
      <x:c r="H18" s="23" t="str">
        <x:v>Keputusan review hanya oleh Admin berwenang; laporan belum terbukti tidak otomatis memberi label problematik.</x:v>
      </x:c>
      <x:c r="I18" s="24"/>
      <x:c r="J18" s="25" t="str">
        <x:v>Not Run</x:v>
      </x:c>
    </x:row>
    <x:row r="19" ht="107" customHeight="1">
      <x:c r="A19" s="22" t="str">
        <x:v>TC-24-06</x:v>
      </x:c>
      <x:c r="B19" s="23" t="str">
        <x:v>TS-24
Peninjauan akun</x:v>
      </x:c>
      <x:c r="C19" s="23" t="str">
        <x:v>Privasi dan akses
Prioritas: P2
Desain: TBD</x:v>
      </x:c>
      <x:c r="D19" s="23" t="str">
        <x:v>Target, laporan, bukti tersedia; pengajuan laporan alur pendukung.</x:v>
      </x:c>
      <x:c r="E19" s="23" t="str">
        <x:v>1. USER melihat bukti privat, review, ubah reputasi.</x:v>
      </x:c>
      <x:c r="F19" s="23" t="str">
        <x:v>Pelapor, target akun dan Admin QA; alasan serta bukti laporan; kasus OPEN dan keputusan review fixture.
TBD: lengkapi aturan/data yang belum disahkan sebelum menjalankan kasus ini.</x:v>
      </x:c>
      <x:c r="G19" s="23" t="str">
        <x:v>Ditolak; laporan bukan tuduhan publik sebelum keputusan.</x:v>
      </x:c>
      <x:c r="H19" s="23" t="str">
        <x:v>Keputusan review hanya oleh Admin berwenang; laporan belum terbukti tidak otomatis memberi label problematik.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92" priority="1" operator="containsText" text="Pass"/>
    <x:cfRule type="containsText" dxfId="93" priority="2" operator="containsText" text="Fail"/>
    <x:cfRule type="containsText" dxfId="94" priority="3" operator="containsText" text="Blocked"/>
    <x:cfRule type="containsText" dxfId="95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2f61f2a934482e"/>
  </x:tableParts>
</x:worksheet>
</file>

<file path=xl/worksheets/sheet25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TS-25  Kategori produk varian</x:v>
      </x:c>
      <x:c r="B2" s="4" t="str">
        <x:v>TS-25  Kategori produk varian</x:v>
      </x:c>
      <x:c r="C2" s="4" t="str">
        <x:v>TS-25  Kategori produk varian</x:v>
      </x:c>
      <x:c r="D2" s="4" t="str">
        <x:v>TS-25  Kategori produk varian</x:v>
      </x:c>
      <x:c r="E2" s="4" t="str">
        <x:v>TS-25  Kategori produk varian</x:v>
      </x:c>
      <x:c r="F2" s="4" t="str">
        <x:v>TS-25  Kategori produk varian</x:v>
      </x:c>
      <x:c r="G2" s="4" t="str">
        <x:v>TS-25  Kategori produk varian</x:v>
      </x:c>
      <x:c r="H2" s="4" t="str">
        <x:v>TS-25  Kategori produk varian</x:v>
      </x:c>
      <x:c r="I2" s="4" t="str">
        <x:v>TS-25  Kategori produk varian</x:v>
      </x:c>
      <x:c r="J2" s="4" t="str">
        <x:v>TS-25  Kategori produk varian</x:v>
      </x:c>
    </x:row>
    <x:row r="3" ht="20" customHeight="1">
      <x:c r="A3" s="5" t="str">
        <x:v>TC-25-01 sampai TC-25-06  |  6 test case  |  Rancangan revisi 0.2</x:v>
      </x:c>
      <x:c r="B3" s="5" t="str">
        <x:v>TC-25-01 sampai TC-25-06  |  6 test case  |  Rancangan revisi 0.2</x:v>
      </x:c>
      <x:c r="C3" s="5" t="str">
        <x:v>TC-25-01 sampai TC-25-06  |  6 test case  |  Rancangan revisi 0.2</x:v>
      </x:c>
      <x:c r="D3" s="5" t="str">
        <x:v>TC-25-01 sampai TC-25-06  |  6 test case  |  Rancangan revisi 0.2</x:v>
      </x:c>
      <x:c r="E3" s="5" t="str">
        <x:v>TC-25-01 sampai TC-25-06  |  6 test case  |  Rancangan revisi 0.2</x:v>
      </x:c>
      <x:c r="F3" s="5" t="str">
        <x:v>TC-25-01 sampai TC-25-06  |  6 test case  |  Rancangan revisi 0.2</x:v>
      </x:c>
      <x:c r="G3" s="5" t="str">
        <x:v>TC-25-01 sampai TC-25-06  |  6 test case  |  Rancangan revisi 0.2</x:v>
      </x:c>
      <x:c r="H3" s="5" t="str">
        <x:v>TC-25-01 sampai TC-25-06  |  6 test case  |  Rancangan revisi 0.2</x:v>
      </x:c>
      <x:c r="I3" s="5" t="str">
        <x:v>TC-25-01 sampai TC-25-06  |  6 test case  |  Rancangan revisi 0.2</x:v>
      </x:c>
      <x:c r="J3" s="5" t="str">
        <x:v>TC-25-01 sampai TC-25-06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Kategori produk varian</x:v>
      </x:c>
      <x:c r="D5" s="3" t="str">
        <x:v>Kategori produk varian</x:v>
      </x:c>
      <x:c r="E5" s="3" t="str">
        <x:v>Kategori produk varian</x:v>
      </x:c>
      <x:c r="F5" s="3" t="str">
        <x:v>Kategori produk varian</x:v>
      </x:c>
      <x:c r="G5" s="7" t="str">
        <x:v>Scenario ID</x:v>
      </x:c>
      <x:c r="H5" s="7" t="str">
        <x:v>Scenario ID</x:v>
      </x:c>
      <x:c r="I5" s="3" t="str">
        <x:v>TS-25</x:v>
      </x:c>
      <x:c r="J5" s="3" t="str">
        <x:v>TS-25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TC-25-01</x:v>
      </x:c>
      <x:c r="B14" s="23" t="str">
        <x:v>TS-25
Kategori produk varian</x:v>
      </x:c>
      <x:c r="C14" s="23" t="str">
        <x:v>Buat katalog
Prioritas: P2
Desain: Review</x:v>
      </x:c>
      <x:c r="D14" s="23" t="str">
        <x:v>Admin/USER aktif; katalog tersedia.</x:v>
      </x:c>
      <x:c r="E14" s="23" t="str">
        <x:v>1. Admin buat kategori, produk, varian valid.</x:v>
      </x:c>
      <x:c r="F14" s="23" t="str">
        <x:v>Admin QA/USER; kategori, produk, varian baru/duplikat; parent valid/tidak ada dan katalog yang sudah dipakai.</x:v>
      </x:c>
      <x:c r="G14" s="23" t="str">
        <x:v>Relasi kategori–produk–varian benar.</x:v>
      </x:c>
      <x:c r="H14" s="23" t="str">
        <x:v>Relasi katalog tetap sah; snapshot lama utuh; USER dan data tidak valid tidak mengubah katalog.</x:v>
      </x:c>
      <x:c r="I14" s="24"/>
      <x:c r="J14" s="25" t="str">
        <x:v>Not Run</x:v>
      </x:c>
    </x:row>
    <x:row r="15" ht="100" customHeight="1">
      <x:c r="A15" s="22" t="str">
        <x:v>TC-25-02</x:v>
      </x:c>
      <x:c r="B15" s="23" t="str">
        <x:v>TS-25
Kategori produk varian</x:v>
      </x:c>
      <x:c r="C15" s="23" t="str">
        <x:v>Ubah katalog
Prioritas: P2
Desain: Review</x:v>
      </x:c>
      <x:c r="D15" s="23" t="str">
        <x:v>Admin/USER aktif; katalog tersedia.</x:v>
      </x:c>
      <x:c r="E15" s="23" t="str">
        <x:v>1. Ubah nama/deskripsi.</x:v>
      </x:c>
      <x:c r="F15" s="23" t="str">
        <x:v>Admin QA/USER; kategori, produk, varian baru/duplikat; parent valid/tidak ada dan katalog yang sudah dipakai.</x:v>
      </x:c>
      <x:c r="G15" s="23" t="str">
        <x:v>Penggunaan baru berubah; snapshot lama tetap.</x:v>
      </x:c>
      <x:c r="H15" s="23" t="str">
        <x:v>Relasi katalog tetap sah; snapshot lama utuh; USER dan data tidak valid tidak mengubah katalog.</x:v>
      </x:c>
      <x:c r="I15" s="24"/>
      <x:c r="J15" s="25" t="str">
        <x:v>Not Run</x:v>
      </x:c>
    </x:row>
    <x:row r="16" ht="100" customHeight="1">
      <x:c r="A16" s="22" t="str">
        <x:v>TC-25-03</x:v>
      </x:c>
      <x:c r="B16" s="23" t="str">
        <x:v>TS-25
Kategori produk varian</x:v>
      </x:c>
      <x:c r="C16" s="23" t="str">
        <x:v>Duplikasi
Prioritas: P2
Desain: Review</x:v>
      </x:c>
      <x:c r="D16" s="23" t="str">
        <x:v>Admin/USER aktif; katalog tersedia.</x:v>
      </x:c>
      <x:c r="E16" s="23" t="str">
        <x:v>1. Uji kategori sama
2. produk sama dalam kategori
3. varian sama dalam produk.</x:v>
      </x:c>
      <x:c r="F16" s="23" t="str">
        <x:v>Admin QA/USER; kategori, produk, varian baru/duplikat; parent valid/tidak ada dan katalog yang sudah dipakai.</x:v>
      </x:c>
      <x:c r="G16" s="23" t="str">
        <x:v>Duplikasi pada ruang unik ditolak.</x:v>
      </x:c>
      <x:c r="H16" s="23" t="str">
        <x:v>Relasi katalog tetap sah; snapshot lama utuh; USER dan data tidak valid tidak mengubah katalog.</x:v>
      </x:c>
      <x:c r="I16" s="24"/>
      <x:c r="J16" s="25" t="str">
        <x:v>Not Run</x:v>
      </x:c>
    </x:row>
    <x:row r="17" ht="100" customHeight="1">
      <x:c r="A17" s="22" t="str">
        <x:v>TC-25-04</x:v>
      </x:c>
      <x:c r="B17" s="23" t="str">
        <x:v>TS-25
Kategori produk varian</x:v>
      </x:c>
      <x:c r="C17" s="23" t="str">
        <x:v>Relasi tidak sah
Prioritas: P2
Desain: Review</x:v>
      </x:c>
      <x:c r="D17" s="23" t="str">
        <x:v>Admin/USER aktif; katalog tersedia.</x:v>
      </x:c>
      <x:c r="E17" s="23" t="str">
        <x:v>1. Kosongkan nama/gunakan parent tak ada.</x:v>
      </x:c>
      <x:c r="F17" s="23" t="str">
        <x:v>Admin QA/USER; kategori, produk, varian baru/duplikat; parent valid/tidak ada dan katalog yang sudah dipakai.</x:v>
      </x:c>
      <x:c r="G17" s="23" t="str">
        <x:v>Ditolak; tidak ada relasi yatim.</x:v>
      </x:c>
      <x:c r="H17" s="23" t="str">
        <x:v>Relasi katalog tetap sah; snapshot lama utuh; USER dan data tidak valid tidak mengubah katalog.</x:v>
      </x:c>
      <x:c r="I17" s="24"/>
      <x:c r="J17" s="25" t="str">
        <x:v>Not Run</x:v>
      </x:c>
    </x:row>
    <x:row r="18" ht="100" customHeight="1">
      <x:c r="A18" s="22" t="str">
        <x:v>TC-25-05</x:v>
      </x:c>
      <x:c r="B18" s="23" t="str">
        <x:v>TS-25
Kategori produk varian</x:v>
      </x:c>
      <x:c r="C18" s="23" t="str">
        <x:v>Nonaktifkan katalog
Prioritas: P2
Desain: Review</x:v>
      </x:c>
      <x:c r="D18" s="23" t="str">
        <x:v>Admin/USER aktif; katalog tersedia.</x:v>
      </x:c>
      <x:c r="E18" s="23" t="str">
        <x:v>1. Nonaktifkan data sudah digunakan.</x:v>
      </x:c>
      <x:c r="F18" s="23" t="str">
        <x:v>Admin QA/USER; kategori, produk, varian baru/duplikat; parent valid/tidak ada dan katalog yang sudah dipakai.</x:v>
      </x:c>
      <x:c r="G18" s="23" t="str">
        <x:v>Pilihan baru sesuai rule aktif; history/snapshot utuh.</x:v>
      </x:c>
      <x:c r="H18" s="23" t="str">
        <x:v>Relasi katalog tetap sah; snapshot lama utuh; USER dan data tidak valid tidak mengubah katalog.</x:v>
      </x:c>
      <x:c r="I18" s="24"/>
      <x:c r="J18" s="25" t="str">
        <x:v>Not Run</x:v>
      </x:c>
    </x:row>
    <x:row r="19" ht="100" customHeight="1">
      <x:c r="A19" s="22" t="str">
        <x:v>TC-25-06</x:v>
      </x:c>
      <x:c r="B19" s="23" t="str">
        <x:v>TS-25
Kategori produk varian</x:v>
      </x:c>
      <x:c r="C19" s="23" t="str">
        <x:v>Akses USER
Prioritas: P2
Desain: Review</x:v>
      </x:c>
      <x:c r="D19" s="23" t="str">
        <x:v>Admin/USER aktif; katalog tersedia.</x:v>
      </x:c>
      <x:c r="E19" s="23" t="str">
        <x:v>1. USER buat/ubah/nonaktifkan katalog.</x:v>
      </x:c>
      <x:c r="F19" s="23" t="str">
        <x:v>Admin QA/USER; kategori, produk, varian baru/duplikat; parent valid/tidak ada dan katalog yang sudah dipakai.</x:v>
      </x:c>
      <x:c r="G19" s="23" t="str">
        <x:v>Ditolak melalui UI/request.</x:v>
      </x:c>
      <x:c r="H19" s="23" t="str">
        <x:v>Relasi katalog tetap sah; snapshot lama utuh; USER dan data tidak valid tidak mengubah katalog.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96" priority="1" operator="containsText" text="Pass"/>
    <x:cfRule type="containsText" dxfId="97" priority="2" operator="containsText" text="Fail"/>
    <x:cfRule type="containsText" dxfId="98" priority="3" operator="containsText" text="Blocked"/>
    <x:cfRule type="containsText" dxfId="99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374167d1f84dd4"/>
  </x:tableParts>
</x:worksheet>
</file>

<file path=xl/worksheets/sheet26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TS-26  Tujuan settlement</x:v>
      </x:c>
      <x:c r="B2" s="4" t="str">
        <x:v>TS-26  Tujuan settlement</x:v>
      </x:c>
      <x:c r="C2" s="4" t="str">
        <x:v>TS-26  Tujuan settlement</x:v>
      </x:c>
      <x:c r="D2" s="4" t="str">
        <x:v>TS-26  Tujuan settlement</x:v>
      </x:c>
      <x:c r="E2" s="4" t="str">
        <x:v>TS-26  Tujuan settlement</x:v>
      </x:c>
      <x:c r="F2" s="4" t="str">
        <x:v>TS-26  Tujuan settlement</x:v>
      </x:c>
      <x:c r="G2" s="4" t="str">
        <x:v>TS-26  Tujuan settlement</x:v>
      </x:c>
      <x:c r="H2" s="4" t="str">
        <x:v>TS-26  Tujuan settlement</x:v>
      </x:c>
      <x:c r="I2" s="4" t="str">
        <x:v>TS-26  Tujuan settlement</x:v>
      </x:c>
      <x:c r="J2" s="4" t="str">
        <x:v>TS-26  Tujuan settlement</x:v>
      </x:c>
    </x:row>
    <x:row r="3" ht="20" customHeight="1">
      <x:c r="A3" s="5" t="str">
        <x:v>TC-26-01 sampai TC-26-04  |  4 test case  |  Rancangan revisi 0.2</x:v>
      </x:c>
      <x:c r="B3" s="5" t="str">
        <x:v>TC-26-01 sampai TC-26-04  |  4 test case  |  Rancangan revisi 0.2</x:v>
      </x:c>
      <x:c r="C3" s="5" t="str">
        <x:v>TC-26-01 sampai TC-26-04  |  4 test case  |  Rancangan revisi 0.2</x:v>
      </x:c>
      <x:c r="D3" s="5" t="str">
        <x:v>TC-26-01 sampai TC-26-04  |  4 test case  |  Rancangan revisi 0.2</x:v>
      </x:c>
      <x:c r="E3" s="5" t="str">
        <x:v>TC-26-01 sampai TC-26-04  |  4 test case  |  Rancangan revisi 0.2</x:v>
      </x:c>
      <x:c r="F3" s="5" t="str">
        <x:v>TC-26-01 sampai TC-26-04  |  4 test case  |  Rancangan revisi 0.2</x:v>
      </x:c>
      <x:c r="G3" s="5" t="str">
        <x:v>TC-26-01 sampai TC-26-04  |  4 test case  |  Rancangan revisi 0.2</x:v>
      </x:c>
      <x:c r="H3" s="5" t="str">
        <x:v>TC-26-01 sampai TC-26-04  |  4 test case  |  Rancangan revisi 0.2</x:v>
      </x:c>
      <x:c r="I3" s="5" t="str">
        <x:v>TC-26-01 sampai TC-26-04  |  4 test case  |  Rancangan revisi 0.2</x:v>
      </x:c>
      <x:c r="J3" s="5" t="str">
        <x:v>TC-26-01 sampai TC-26-04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Tujuan settlement</x:v>
      </x:c>
      <x:c r="D5" s="3" t="str">
        <x:v>Tujuan settlement</x:v>
      </x:c>
      <x:c r="E5" s="3" t="str">
        <x:v>Tujuan settlement</x:v>
      </x:c>
      <x:c r="F5" s="3" t="str">
        <x:v>Tujuan settlement</x:v>
      </x:c>
      <x:c r="G5" s="7" t="str">
        <x:v>Scenario ID</x:v>
      </x:c>
      <x:c r="H5" s="7" t="str">
        <x:v>Scenario ID</x:v>
      </x:c>
      <x:c r="I5" s="3" t="str">
        <x:v>TS-26</x:v>
      </x:c>
      <x:c r="J5" s="3" t="str">
        <x:v>TS-26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TC-26-01</x:v>
      </x:c>
      <x:c r="B14" s="23" t="str">
        <x:v>TS-26
Tujuan settlement</x:v>
      </x:c>
      <x:c r="C14" s="23" t="str">
        <x:v>BANK dan EWALLET
Prioritas: P1
Desain: TBD</x:v>
      </x:c>
      <x:c r="D14" s="23" t="str">
        <x:v>Settlement PLANNED/final tersedia.</x:v>
      </x:c>
      <x:c r="E14" s="23" t="str">
        <x:v>1. Isi provider, nomor, nama sesuai tipe.</x:v>
      </x:c>
      <x:c r="F14" s="23" t="str">
        <x:v>Tujuan BANK/EWALLET/QRIS dari fixture sesuai keputusan D10; provider, nomor, nama, gambar QRIS; settlement planned/final.
TBD: lengkapi aturan/data yang belum disahkan sebelum menjalankan kasus ini.</x:v>
      </x:c>
      <x:c r="G14" s="23" t="str">
        <x:v>Tujuan valid pada transaksi benar.</x:v>
      </x:c>
      <x:c r="H14" s="23" t="str">
        <x:v>Tujuan settlement benar dan perubahan sah terlacak; settlement final terkunci.</x:v>
      </x:c>
      <x:c r="I14" s="24"/>
      <x:c r="J14" s="25" t="str">
        <x:v>Not Run</x:v>
      </x:c>
    </x:row>
    <x:row r="15" ht="107" customHeight="1">
      <x:c r="A15" s="22" t="str">
        <x:v>TC-26-02</x:v>
      </x:c>
      <x:c r="B15" s="23" t="str">
        <x:v>TS-26
Tujuan settlement</x:v>
      </x:c>
      <x:c r="C15" s="23" t="str">
        <x:v>QRIS
Prioritas: P1
Desain: TBD</x:v>
      </x:c>
      <x:c r="D15" s="23" t="str">
        <x:v>Settlement PLANNED/final tersedia.</x:v>
      </x:c>
      <x:c r="E15" s="23" t="str">
        <x:v>1. Isi gambar QRIS/data penerima wajib.</x:v>
      </x:c>
      <x:c r="F15" s="23" t="str">
        <x:v>Tujuan BANK/EWALLET/QRIS dari fixture sesuai keputusan D10; provider, nomor, nama, gambar QRIS; settlement planned/final.
TBD: lengkapi aturan/data yang belum disahkan sebelum menjalankan kasus ini.</x:v>
      </x:c>
      <x:c r="G15" s="23" t="str">
        <x:v>Tujuan QRIS valid tersimpan.</x:v>
      </x:c>
      <x:c r="H15" s="23" t="str">
        <x:v>Tujuan settlement benar dan perubahan sah terlacak; settlement final terkunci.</x:v>
      </x:c>
      <x:c r="I15" s="24"/>
      <x:c r="J15" s="25" t="str">
        <x:v>Not Run</x:v>
      </x:c>
    </x:row>
    <x:row r="16" ht="107" customHeight="1">
      <x:c r="A16" s="22" t="str">
        <x:v>TC-26-03</x:v>
      </x:c>
      <x:c r="B16" s="23" t="str">
        <x:v>TS-26
Tujuan settlement</x:v>
      </x:c>
      <x:c r="C16" s="23" t="str">
        <x:v>Data atau akses salah
Prioritas: P1
Desain: TBD</x:v>
      </x:c>
      <x:c r="D16" s="23" t="str">
        <x:v>Settlement PLANNED/final tersedia.</x:v>
      </x:c>
      <x:c r="E16" s="23" t="str">
        <x:v>1. Kosongkan nomor/gambar
2. ubah tujuan transaksi pihak lain.</x:v>
      </x:c>
      <x:c r="F16" s="23" t="str">
        <x:v>Tujuan BANK/EWALLET/QRIS dari fixture sesuai keputusan D10; provider, nomor, nama, gambar QRIS; settlement planned/final.
TBD: lengkapi aturan/data yang belum disahkan sebelum menjalankan kasus ini.</x:v>
      </x:c>
      <x:c r="G16" s="23" t="str">
        <x:v>Tidak lengkap/tidak berwenang ditolak.</x:v>
      </x:c>
      <x:c r="H16" s="23" t="str">
        <x:v>Tujuan settlement benar dan perubahan sah terlacak; settlement final terkunci.</x:v>
      </x:c>
      <x:c r="I16" s="24"/>
      <x:c r="J16" s="25" t="str">
        <x:v>Not Run</x:v>
      </x:c>
    </x:row>
    <x:row r="17" ht="107" customHeight="1">
      <x:c r="A17" s="22" t="str">
        <x:v>TC-26-04</x:v>
      </x:c>
      <x:c r="B17" s="23" t="str">
        <x:v>TS-26
Tujuan settlement</x:v>
      </x:c>
      <x:c r="C17" s="23" t="str">
        <x:v>Perubahan tujuan
Prioritas: P1
Desain: TBD</x:v>
      </x:c>
      <x:c r="D17" s="23" t="str">
        <x:v>Settlement PLANNED/final tersedia.</x:v>
      </x:c>
      <x:c r="E17" s="23" t="str">
        <x:v>1. Pelaku berwenang ubah sebelum pelaksanaan
2. ulangi setelah COMPLETED.</x:v>
      </x:c>
      <x:c r="F17" s="23" t="str">
        <x:v>Tujuan BANK/EWALLET/QRIS dari fixture sesuai keputusan D10; provider, nomor, nama, gambar QRIS; settlement planned/final.
TBD: lengkapi aturan/data yang belum disahkan sebelum menjalankan kasus ini.</x:v>
      </x:c>
      <x:c r="G17" s="23" t="str">
        <x:v>Perubahan sah diaudit; final terkunci.</x:v>
      </x:c>
      <x:c r="H17" s="23" t="str">
        <x:v>Tujuan settlement benar dan perubahan sah terlacak; settlement final terkunci.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100" priority="1" operator="containsText" text="Pass"/>
    <x:cfRule type="containsText" dxfId="101" priority="2" operator="containsText" text="Fail"/>
    <x:cfRule type="containsText" dxfId="102" priority="3" operator="containsText" text="Blocked"/>
    <x:cfRule type="containsText" dxfId="103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8c24330be450f"/>
  </x:tableParts>
</x:worksheet>
</file>

<file path=xl/worksheets/sheet27.xml><?xml version="1.0" encoding="utf-8"?>
<x:worksheet xmlns:x="http://schemas.openxmlformats.org/spreadsheetml/2006/main">
  <x:sheetPr>
    <x:tabColor rgb="FF3E5F91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TS-27  Perhitungan fee melalui service</x:v>
      </x:c>
      <x:c r="B2" s="4" t="str">
        <x:v>TS-27  Perhitungan fee melalui service</x:v>
      </x:c>
      <x:c r="C2" s="4" t="str">
        <x:v>TS-27  Perhitungan fee melalui service</x:v>
      </x:c>
      <x:c r="D2" s="4" t="str">
        <x:v>TS-27  Perhitungan fee melalui service</x:v>
      </x:c>
      <x:c r="E2" s="4" t="str">
        <x:v>TS-27  Perhitungan fee melalui service</x:v>
      </x:c>
      <x:c r="F2" s="4" t="str">
        <x:v>TS-27  Perhitungan fee melalui service</x:v>
      </x:c>
      <x:c r="G2" s="4" t="str">
        <x:v>TS-27  Perhitungan fee melalui service</x:v>
      </x:c>
      <x:c r="H2" s="4" t="str">
        <x:v>TS-27  Perhitungan fee melalui service</x:v>
      </x:c>
      <x:c r="I2" s="4" t="str">
        <x:v>TS-27  Perhitungan fee melalui service</x:v>
      </x:c>
      <x:c r="J2" s="4" t="str">
        <x:v>TS-27  Perhitungan fee melalui service</x:v>
      </x:c>
    </x:row>
    <x:row r="3" ht="20" customHeight="1">
      <x:c r="A3" s="5" t="str">
        <x:v>TC-27-01 sampai TC-27-09  |  9 test case  |  Rancangan revisi 0.2</x:v>
      </x:c>
      <x:c r="B3" s="5" t="str">
        <x:v>TC-27-01 sampai TC-27-09  |  9 test case  |  Rancangan revisi 0.2</x:v>
      </x:c>
      <x:c r="C3" s="5" t="str">
        <x:v>TC-27-01 sampai TC-27-09  |  9 test case  |  Rancangan revisi 0.2</x:v>
      </x:c>
      <x:c r="D3" s="5" t="str">
        <x:v>TC-27-01 sampai TC-27-09  |  9 test case  |  Rancangan revisi 0.2</x:v>
      </x:c>
      <x:c r="E3" s="5" t="str">
        <x:v>TC-27-01 sampai TC-27-09  |  9 test case  |  Rancangan revisi 0.2</x:v>
      </x:c>
      <x:c r="F3" s="5" t="str">
        <x:v>TC-27-01 sampai TC-27-09  |  9 test case  |  Rancangan revisi 0.2</x:v>
      </x:c>
      <x:c r="G3" s="5" t="str">
        <x:v>TC-27-01 sampai TC-27-09  |  9 test case  |  Rancangan revisi 0.2</x:v>
      </x:c>
      <x:c r="H3" s="5" t="str">
        <x:v>TC-27-01 sampai TC-27-09  |  9 test case  |  Rancangan revisi 0.2</x:v>
      </x:c>
      <x:c r="I3" s="5" t="str">
        <x:v>TC-27-01 sampai TC-27-09  |  9 test case  |  Rancangan revisi 0.2</x:v>
      </x:c>
      <x:c r="J3" s="5" t="str">
        <x:v>TC-27-01 sampai TC-27-09  |  9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Perhitungan fee melalui service</x:v>
      </x:c>
      <x:c r="D5" s="3" t="str">
        <x:v>Perhitungan fee melalui service</x:v>
      </x:c>
      <x:c r="E5" s="3" t="str">
        <x:v>Perhitungan fee melalui service</x:v>
      </x:c>
      <x:c r="F5" s="3" t="str">
        <x:v>Perhitungan fee melalui service</x:v>
      </x:c>
      <x:c r="G5" s="7" t="str">
        <x:v>Scenario ID</x:v>
      </x:c>
      <x:c r="H5" s="7" t="str">
        <x:v>Scenario ID</x:v>
      </x:c>
      <x:c r="I5" s="3" t="str">
        <x:v>TS-27</x:v>
      </x:c>
      <x:c r="J5" s="3" t="str">
        <x:v>TS-27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COUNTA(A14:A22)</x:f>
        <x:v>9</x:v>
      </x:c>
      <x:c r="C11" s="13" t="str">
        <x:v>Pass</x:v>
      </x:c>
      <x:c r="D11" s="14" t="n">
        <x:f>COUNTIFS(J14:J22,"Pass")</x:f>
        <x:v>0</x:v>
      </x:c>
      <x:c r="E11" s="13" t="str">
        <x:v>Fail</x:v>
      </x:c>
      <x:c r="F11" s="14" t="n">
        <x:f>COUNTIFS(J14:J22,"Fail")</x:f>
        <x:v>0</x:v>
      </x:c>
      <x:c r="G11" s="13" t="str">
        <x:v>Blocked</x:v>
      </x:c>
      <x:c r="H11" s="14" t="n">
        <x:f>COUNTIFS(J14:J22,"Blocked")</x:f>
        <x:v>0</x:v>
      </x:c>
      <x:c r="I11" s="13" t="str">
        <x:v>Not Run</x:v>
      </x:c>
      <x:c r="J11" s="14" t="n">
        <x:f>COUNTIFS(J14:J22,"Not Run")</x:f>
        <x:v>9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TC-27-01</x:v>
      </x:c>
      <x:c r="B14" s="23" t="str">
        <x:v>TS-27
Perhitungan fee melalui service</x:v>
      </x:c>
      <x:c r="C14" s="23" t="str">
        <x:v>Nominal melampaui batas lama
Prioritas: P1
Desain: Review</x:v>
      </x:c>
      <x:c r="D14" s="23" t="str">
        <x:v>Panggil service pada lingkungan uji; gunakan snapshot transaksi final. Tabel fee di bawah Rp1 juta harus dilengkapi sebelum kasus terkait dijalankan.</x:v>
      </x:c>
      <x:c r="E14" s="23" t="str">
        <x:v>1. Panggil service untuk Rp1.000.000 dan Rp1.000.001.</x:v>
      </x:c>
      <x:c r="F14" s="23" t="str">
        <x:v>Nominal dari langkah kasus; sumber Marketplace/Forum; mode EX/INC; hasil service dan snapshot; fee client palsu untuk manipulasi.
Nilai khusus: Rp1.000.000; Rp1.000.001..</x:v>
      </x:c>
      <x:c r="G14" s="23" t="str">
        <x:v>Keduanya fee Rp10.000; nominal di atas Rp1 juta tidak ditolak hanya karena batas lama. Batas minimum/maksimum baru mengikuti keputusan D02.</x:v>
      </x:c>
      <x:c r="H14" s="23" t="str">
        <x:v>Nominal server dan snapshot konsisten; manipulasi client ditolak/dihitung ulang sesuai kontrak; tidak ada CRUD FeeConfig.</x:v>
      </x:c>
      <x:c r="I14" s="24"/>
      <x:c r="J14" s="25" t="str">
        <x:v>Not Run</x:v>
      </x:c>
    </x:row>
    <x:row r="15" ht="133" customHeight="1">
      <x:c r="A15" s="22" t="str">
        <x:v>TC-27-02</x:v>
      </x:c>
      <x:c r="B15" s="23" t="str">
        <x:v>TS-27
Perhitungan fee melalui service</x:v>
      </x:c>
      <x:c r="C15" s="23" t="str">
        <x:v>Batas kenaikan fee
Prioritas: P1
Desain: Review</x:v>
      </x:c>
      <x:c r="D15" s="23" t="str">
        <x:v>Panggil service pada lingkungan uji; gunakan snapshot transaksi final. Tabel fee di bawah Rp1 juta harus dilengkapi sebelum kasus terkait dijalankan.</x:v>
      </x:c>
      <x:c r="E15" s="23" t="str">
        <x:v>1. Jalankan Rp9.999.999, Rp10.000.000, Rp10.000.001, Rp19.999.999, Rp20.000.000, Rp20.000.001 sebagai dataset terpisah.</x:v>
      </x:c>
      <x:c r="F15" s="23" t="str">
        <x:v>Nominal dari langkah kasus; sumber Marketplace/Forum; mode EX/INC; hasil service dan snapshot; fee client palsu untuk manipulasi.
Nilai khusus: Rp9.999.999,; Rp10.000.000,; Rp10.000.001,; Rp19.999.999,; Rp20.000.000,; Rp20.000.001.</x:v>
      </x:c>
      <x:c r="G15" s="23" t="str">
        <x:v>Fee berurutan Rp10.000, Rp20.000, Rp20.000, Rp20.000, Rp30.000, Rp30.000; rekam hasil per dataset.</x:v>
      </x:c>
      <x:c r="H15" s="23" t="str">
        <x:v>Nominal server dan snapshot konsisten; manipulasi client ditolak/dihitung ulang sesuai kontrak; tidak ada CRUD FeeConfig.</x:v>
      </x:c>
      <x:c r="I15" s="24"/>
      <x:c r="J15" s="25" t="str">
        <x:v>Not Run</x:v>
      </x:c>
    </x:row>
    <x:row r="16" ht="100" customHeight="1">
      <x:c r="A16" s="22" t="str">
        <x:v>TC-27-03</x:v>
      </x:c>
      <x:c r="B16" s="23" t="str">
        <x:v>TS-27
Perhitungan fee melalui service</x:v>
      </x:c>
      <x:c r="C16" s="23" t="str">
        <x:v>Manipulasi fee dari client
Prioritas: P1
Desain: Review</x:v>
      </x:c>
      <x:c r="D16" s="23" t="str">
        <x:v>Panggil service pada lingkungan uji; gunakan snapshot transaksi final. Tabel fee di bawah Rp1 juta harus dilengkapi sebelum kasus terkait dijalankan.</x:v>
      </x:c>
      <x:c r="E16" s="23" t="str">
        <x:v>1. Kirim checkout sah tetapi ubah parameter fee/total pada request menjadi 0 atau 1
2. ulangi dengan sumber Marketplace dan Forum.</x:v>
      </x:c>
      <x:c r="F16" s="23" t="str">
        <x:v>Nominal dari langkah kasus; sumber Marketplace/Forum; mode EX/INC; hasil service dan snapshot; fee client palsu untuk manipulasi.</x:v>
      </x:c>
      <x:c r="G16" s="23" t="str">
        <x:v>Server menghitung fee dari service dan sumber transaksi; request tidak dapat menurunkan fee atau memaksakan EX/INC pada Marketplace.</x:v>
      </x:c>
      <x:c r="H16" s="23" t="str">
        <x:v>Nominal server dan snapshot konsisten; manipulasi client ditolak/dihitung ulang sesuai kontrak; tidak ada CRUD FeeConfig.</x:v>
      </x:c>
      <x:c r="I16" s="24"/>
      <x:c r="J16" s="25" t="str">
        <x:v>Not Run</x:v>
      </x:c>
    </x:row>
    <x:row r="17" ht="100" customHeight="1">
      <x:c r="A17" s="22" t="str">
        <x:v>TC-27-04</x:v>
      </x:c>
      <x:c r="B17" s="23" t="str">
        <x:v>TS-27
Perhitungan fee melalui service</x:v>
      </x:c>
      <x:c r="C17" s="23" t="str">
        <x:v>Snapshot saat aturan service berubah
Prioritas: P1
Desain: Review</x:v>
      </x:c>
      <x:c r="D17" s="23" t="str">
        <x:v>Panggil service pada lingkungan uji; gunakan snapshot transaksi final. Tabel fee di bawah Rp1 juta harus dilengkapi sebelum kasus terkait dijalankan.</x:v>
      </x:c>
      <x:c r="E17" s="23" t="str">
        <x:v>1. Finalkan transaksi A pada versi rule 1
2. deploy perubahan rule terkontrol pada lingkungan uji
3. buat transaksi B.</x:v>
      </x:c>
      <x:c r="F17" s="23" t="str">
        <x:v>Nominal dari langkah kasus; sumber Marketplace/Forum; mode EX/INC; hasil service dan snapshot; fee client palsu untuk manipulasi.</x:v>
      </x:c>
      <x:c r="G17" s="23" t="str">
        <x:v>A mempertahankan nominal snapshot. B memakai rule baru yang disahkan. Hash build dan hasil dua transaksi dicatat; tidak ada CRUD FeeConfig.</x:v>
      </x:c>
      <x:c r="H17" s="23" t="str">
        <x:v>Nominal server dan snapshot konsisten; manipulasi client ditolak/dihitung ulang sesuai kontrak; tidak ada CRUD FeeConfig.</x:v>
      </x:c>
      <x:c r="I17" s="24"/>
      <x:c r="J17" s="25" t="str">
        <x:v>Not Run</x:v>
      </x:c>
    </x:row>
    <x:row r="18" ht="120" customHeight="1">
      <x:c r="A18" s="22" t="str">
        <x:v>TC-27-05</x:v>
      </x:c>
      <x:c r="B18" s="23" t="str">
        <x:v>TS-27
Perhitungan fee melalui service</x:v>
      </x:c>
      <x:c r="C18" s="23" t="str">
        <x:v>Tier di bawah satu juta
Prioritas: P1
Desain: TBD</x:v>
      </x:c>
      <x:c r="D18" s="23" t="str">
        <x:v>Panggil service pada lingkungan uji; gunakan snapshot transaksi final. Tabel fee di bawah Rp1 juta harus dilengkapi sebelum kasus terkait dijalankan.</x:v>
      </x:c>
      <x:c r="E18" s="23" t="str">
        <x:v>1. Setelah tabel fee proposal disahkan, uji satu rupiah di bawah, tepat, dan satu rupiah di atas setiap batas tier.</x:v>
      </x:c>
      <x:c r="F18" s="23" t="str">
        <x:v>Nominal dari langkah kasus; sumber Marketplace/Forum; mode EX/INC; hasil service dan snapshot; fee client palsu untuk manipulasi.
TBD: lengkapi aturan/data yang belum disahkan sebelum menjalankan kasus ini.</x:v>
      </x:c>
      <x:c r="G18" s="23" t="str">
        <x:v>Fee persis sesuai tabel acuan; setiap nominal memiliki dataset dan hasil terpisah; aturan pembulatan tidak ditebak.</x:v>
      </x:c>
      <x:c r="H18" s="23" t="str">
        <x:v>Nominal server dan snapshot konsisten; manipulasi client ditolak/dihitung ulang sesuai kontrak; tidak ada CRUD FeeConfig.</x:v>
      </x:c>
      <x:c r="I18" s="24"/>
      <x:c r="J18" s="25" t="str">
        <x:v>Not Run</x:v>
      </x:c>
    </x:row>
    <x:row r="19" ht="146" customHeight="1">
      <x:c r="A19" s="22" t="str">
        <x:v>TC-27-06</x:v>
      </x:c>
      <x:c r="B19" s="23" t="str">
        <x:v>TS-27
Perhitungan fee melalui service</x:v>
      </x:c>
      <x:c r="C19" s="23" t="str">
        <x:v>Batas satu juta
Prioritas: P1
Desain: TBD</x:v>
      </x:c>
      <x:c r="D19" s="23" t="str">
        <x:v>Panggil service pada lingkungan uji; gunakan snapshot transaksi final. Tabel fee di bawah Rp1 juta harus dilengkapi sebelum kasus terkait dijalankan.</x:v>
      </x:c>
      <x:c r="E19" s="23" t="str">
        <x:v>1. Gunakan Rp999.999 dan Rp1.000.000.</x:v>
      </x:c>
      <x:c r="F19" s="23" t="str">
        <x:v>Nominal dari langkah kasus; sumber Marketplace/Forum; mode EX/INC; hasil service dan snapshot; fee client palsu untuk manipulasi.
Nilai khusus: Rp999.999; Rp1.000.000..
TBD: lengkapi aturan/data yang belum disahkan sebelum menjalankan kasus ini.</x:v>
      </x:c>
      <x:c r="G19" s="23" t="str">
        <x:v>Rp1.000.000 menghasilkan Rp10.000; Rp999.999 mengikuti tabel fee di bawah satu juta yang disahkan.</x:v>
      </x:c>
      <x:c r="H19" s="23" t="str">
        <x:v>Nominal server dan snapshot konsisten; manipulasi client ditolak/dihitung ulang sesuai kontrak; tidak ada CRUD FeeConfig.</x:v>
      </x:c>
      <x:c r="I19" s="24"/>
      <x:c r="J19" s="25" t="str">
        <x:v>Not Run</x:v>
      </x:c>
    </x:row>
    <x:row r="20" ht="100" customHeight="1">
      <x:c r="A20" s="22" t="str">
        <x:v>TC-27-07</x:v>
      </x:c>
      <x:c r="B20" s="23" t="str">
        <x:v>TS-27
Perhitungan fee melalui service</x:v>
      </x:c>
      <x:c r="C20" s="23" t="str">
        <x:v>Mode fee menurut sumber
Prioritas: P1
Desain: Review</x:v>
      </x:c>
      <x:c r="D20" s="23" t="str">
        <x:v>Panggil service pada lingkungan uji; gunakan snapshot transaksi final. Tabel fee di bawah Rp1 juta harus dilengkapi sebelum kasus terkait dijalankan.</x:v>
      </x:c>
      <x:c r="E20" s="23" t="str">
        <x:v>1. Buat checkout Marketplace serta draft Forum EX dan INC dengan harga sama.</x:v>
      </x:c>
      <x:c r="F20" s="23" t="str">
        <x:v>Nominal dari langkah kasus; sumber Marketplace/Forum; mode EX/INC; hasil service dan snapshot; fee client palsu untuk manipulasi.</x:v>
      </x:c>
      <x:c r="G20" s="23" t="str">
        <x:v>Marketplace memakai fixed fee tanpa pilihan mode; Forum menerima EX/INC dan menghitung total/net sesuai snapshot.</x:v>
      </x:c>
      <x:c r="H20" s="23" t="str">
        <x:v>Nominal server dan snapshot konsisten; manipulasi client ditolak/dihitung ulang sesuai kontrak; tidak ada CRUD FeeConfig.</x:v>
      </x:c>
      <x:c r="I20" s="24"/>
      <x:c r="J20" s="25" t="str">
        <x:v>Not Run</x:v>
      </x:c>
    </x:row>
    <x:row r="21" ht="100" customHeight="1">
      <x:c r="A21" s="22" t="str">
        <x:v>TC-27-08</x:v>
      </x:c>
      <x:c r="B21" s="23" t="str">
        <x:v>TS-27
Perhitungan fee melalui service</x:v>
      </x:c>
      <x:c r="C21" s="23" t="str">
        <x:v>Input nominal tidak sah
Prioritas: P1
Desain: Review</x:v>
      </x:c>
      <x:c r="D21" s="23" t="str">
        <x:v>Panggil service pada lingkungan uji; gunakan snapshot transaksi final. Tabel fee di bawah Rp1 juta harus dilengkapi sebelum kasus terkait dijalankan.</x:v>
      </x:c>
      <x:c r="E21" s="23" t="str">
        <x:v>1. Panggil service/request dengan kosong, teks, nol, negatif dan nilai di luar kapasitas tipe data sebagai dataset terpisah.</x:v>
      </x:c>
      <x:c r="F21" s="23" t="str">
        <x:v>Nominal dari langkah kasus; sumber Marketplace/Forum; mode EX/INC; hasil service dan snapshot; fee client palsu untuk manipulasi.</x:v>
      </x:c>
      <x:c r="G21" s="23" t="str">
        <x:v>Input yang tidak memenuhi kontrak ditolak terkontrol; tidak overflow atau membuat nominal transaksi tidak sah.</x:v>
      </x:c>
      <x:c r="H21" s="23" t="str">
        <x:v>Nominal server dan snapshot konsisten; manipulasi client ditolak/dihitung ulang sesuai kontrak; tidak ada CRUD FeeConfig.</x:v>
      </x:c>
      <x:c r="I21" s="24"/>
      <x:c r="J21" s="25" t="str">
        <x:v>Not Run</x:v>
      </x:c>
    </x:row>
    <x:row r="22" ht="100" customHeight="1">
      <x:c r="A22" s="22" t="str">
        <x:v>TC-27-09</x:v>
      </x:c>
      <x:c r="B22" s="23" t="str">
        <x:v>TS-27
Perhitungan fee melalui service</x:v>
      </x:c>
      <x:c r="C22" s="23" t="str">
        <x:v>Konsistensi nominal
Prioritas: P1
Desain: Review</x:v>
      </x:c>
      <x:c r="D22" s="23" t="str">
        <x:v>Panggil service pada lingkungan uji; gunakan snapshot transaksi final. Tabel fee di bawah Rp1 juta harus dilengkapi sebelum kasus terkait dijalankan.</x:v>
      </x:c>
      <x:c r="E22" s="23" t="str">
        <x:v>1. Pada harga Rp10 juta, bandingkan preview, snapshot, pembayaran dan payout.</x:v>
      </x:c>
      <x:c r="F22" s="23" t="str">
        <x:v>Nominal dari langkah kasus; sumber Marketplace/Forum; mode EX/INC; hasil service dan snapshot; fee client palsu untuk manipulasi.
Nilai khusus: Rp10 juta.</x:v>
      </x:c>
      <x:c r="G22" s="23" t="str">
        <x:v>Fee Rp20.000 konsisten; total/net mengikuti sumber dan mode; client tidak menjadi sumber nominal otoritatif.</x:v>
      </x:c>
      <x:c r="H22" s="23" t="str">
        <x:v>Nominal server dan snapshot konsisten; manipulasi client ditolak/dihitung ulang sesuai kontrak; tidak ada CRUD FeeConfig.</x:v>
      </x:c>
      <x:c r="I22" s="24"/>
      <x:c r="J22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2">
    <x:cfRule type="containsText" dxfId="104" priority="1" operator="containsText" text="Pass"/>
    <x:cfRule type="containsText" dxfId="105" priority="2" operator="containsText" text="Fail"/>
    <x:cfRule type="containsText" dxfId="106" priority="3" operator="containsText" text="Blocked"/>
    <x:cfRule type="containsText" dxfId="107" priority="4" operator="containsText" text="Not Run"/>
  </x:conditionalFormatting>
  <x:dataValidations count="1">
    <x:dataValidation type="list" sqref="J14:J22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053909a25644d5"/>
  </x:tableParts>
</x:worksheet>
</file>

<file path=xl/worksheets/sheet28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TS-28  Keamanan dan privasi</x:v>
      </x:c>
      <x:c r="B2" s="4" t="str">
        <x:v>TS-28  Keamanan dan privasi</x:v>
      </x:c>
      <x:c r="C2" s="4" t="str">
        <x:v>TS-28  Keamanan dan privasi</x:v>
      </x:c>
      <x:c r="D2" s="4" t="str">
        <x:v>TS-28  Keamanan dan privasi</x:v>
      </x:c>
      <x:c r="E2" s="4" t="str">
        <x:v>TS-28  Keamanan dan privasi</x:v>
      </x:c>
      <x:c r="F2" s="4" t="str">
        <x:v>TS-28  Keamanan dan privasi</x:v>
      </x:c>
      <x:c r="G2" s="4" t="str">
        <x:v>TS-28  Keamanan dan privasi</x:v>
      </x:c>
      <x:c r="H2" s="4" t="str">
        <x:v>TS-28  Keamanan dan privasi</x:v>
      </x:c>
      <x:c r="I2" s="4" t="str">
        <x:v>TS-28  Keamanan dan privasi</x:v>
      </x:c>
      <x:c r="J2" s="4" t="str">
        <x:v>TS-28  Keamanan dan privasi</x:v>
      </x:c>
    </x:row>
    <x:row r="3" ht="20" customHeight="1">
      <x:c r="A3" s="5" t="str">
        <x:v>TC-28-01 sampai TC-28-06  |  6 test case  |  Rancangan revisi 0.2</x:v>
      </x:c>
      <x:c r="B3" s="5" t="str">
        <x:v>TC-28-01 sampai TC-28-06  |  6 test case  |  Rancangan revisi 0.2</x:v>
      </x:c>
      <x:c r="C3" s="5" t="str">
        <x:v>TC-28-01 sampai TC-28-06  |  6 test case  |  Rancangan revisi 0.2</x:v>
      </x:c>
      <x:c r="D3" s="5" t="str">
        <x:v>TC-28-01 sampai TC-28-06  |  6 test case  |  Rancangan revisi 0.2</x:v>
      </x:c>
      <x:c r="E3" s="5" t="str">
        <x:v>TC-28-01 sampai TC-28-06  |  6 test case  |  Rancangan revisi 0.2</x:v>
      </x:c>
      <x:c r="F3" s="5" t="str">
        <x:v>TC-28-01 sampai TC-28-06  |  6 test case  |  Rancangan revisi 0.2</x:v>
      </x:c>
      <x:c r="G3" s="5" t="str">
        <x:v>TC-28-01 sampai TC-28-06  |  6 test case  |  Rancangan revisi 0.2</x:v>
      </x:c>
      <x:c r="H3" s="5" t="str">
        <x:v>TC-28-01 sampai TC-28-06  |  6 test case  |  Rancangan revisi 0.2</x:v>
      </x:c>
      <x:c r="I3" s="5" t="str">
        <x:v>TC-28-01 sampai TC-28-06  |  6 test case  |  Rancangan revisi 0.2</x:v>
      </x:c>
      <x:c r="J3" s="5" t="str">
        <x:v>TC-28-01 sampai TC-28-06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Keamanan dan privasi</x:v>
      </x:c>
      <x:c r="D5" s="3" t="str">
        <x:v>Keamanan dan privasi</x:v>
      </x:c>
      <x:c r="E5" s="3" t="str">
        <x:v>Keamanan dan privasi</x:v>
      </x:c>
      <x:c r="F5" s="3" t="str">
        <x:v>Keamanan dan privasi</x:v>
      </x:c>
      <x:c r="G5" s="7" t="str">
        <x:v>Scenario ID</x:v>
      </x:c>
      <x:c r="H5" s="7" t="str">
        <x:v>Scenario ID</x:v>
      </x:c>
      <x:c r="I5" s="3" t="str">
        <x:v>TS-28</x:v>
      </x:c>
      <x:c r="J5" s="3" t="str">
        <x:v>TS-28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TC-28-01</x:v>
      </x:c>
      <x:c r="B14" s="23" t="str">
        <x:v>TS-28
Keamanan dan privasi</x:v>
      </x:c>
      <x:c r="C14" s="23" t="str">
        <x:v>Input script
Prioritas: P1
Desain: Review</x:v>
      </x:c>
      <x:c r="D14" s="23" t="str">
        <x:v>Lingkungan milik tim; data fiktif; tipe/ukuran file TBD.</x:v>
      </x:c>
      <x:c r="E14" s="23" t="str">
        <x:v>1. Masukkan HTML/script uji pada post, komentar, DM, catatan.</x:v>
      </x:c>
      <x:c r="F14" s="23" t="str">
        <x:v>Lingkungan QA; input HTML/script/manipulatif, token CSRF sah/tidak sah, file valid/terlarang/berlebih; akun nonpihak.</x:v>
      </x:c>
      <x:c r="G14" s="23" t="str">
        <x:v>Tidak menjalankan script; sanitasi/escaping sesuai field.</x:v>
      </x:c>
      <x:c r="H14" s="23" t="str">
        <x:v>Data, sesi dan file terlindungi; request tidak sah tidak mengubah keadaan; password/token/kredensial tidak terbuka.</x:v>
      </x:c>
      <x:c r="I14" s="24"/>
      <x:c r="J14" s="25" t="str">
        <x:v>Not Run</x:v>
      </x:c>
    </x:row>
    <x:row r="15" ht="100" customHeight="1">
      <x:c r="A15" s="22" t="str">
        <x:v>TC-28-02</x:v>
      </x:c>
      <x:c r="B15" s="23" t="str">
        <x:v>TS-28
Keamanan dan privasi</x:v>
      </x:c>
      <x:c r="C15" s="23" t="str">
        <x:v>Input manipulatif
Prioritas: P1
Desain: Review</x:v>
      </x:c>
      <x:c r="D15" s="23" t="str">
        <x:v>Lingkungan milik tim; data fiktif; tipe/ukuran file TBD.</x:v>
      </x:c>
      <x:c r="E15" s="23" t="str">
        <x:v>1. Kirim input uji khusus pada pencarian/login.</x:v>
      </x:c>
      <x:c r="F15" s="23" t="str">
        <x:v>Lingkungan QA; input HTML/script/manipulatif, token CSRF sah/tidak sah, file valid/terlarang/berlebih; akun nonpihak.</x:v>
      </x:c>
      <x:c r="G15" s="23" t="str">
        <x:v>Tidak bypass login/buka data lain/bocorkan error database.</x:v>
      </x:c>
      <x:c r="H15" s="23" t="str">
        <x:v>Data, sesi dan file terlindungi; request tidak sah tidak mengubah keadaan; password/token/kredensial tidak terbuka.</x:v>
      </x:c>
      <x:c r="I15" s="24"/>
      <x:c r="J15" s="25" t="str">
        <x:v>Not Run</x:v>
      </x:c>
    </x:row>
    <x:row r="16" ht="100" customHeight="1">
      <x:c r="A16" s="22" t="str">
        <x:v>TC-28-03</x:v>
      </x:c>
      <x:c r="B16" s="23" t="str">
        <x:v>TS-28
Keamanan dan privasi</x:v>
      </x:c>
      <x:c r="C16" s="23" t="str">
        <x:v>CSRF
Prioritas: P1
Desain: Review</x:v>
      </x:c>
      <x:c r="D16" s="23" t="str">
        <x:v>Lingkungan milik tim; data fiktif; tipe/ukuran file TBD.</x:v>
      </x:c>
      <x:c r="E16" s="23" t="str">
        <x:v>1. Kirim perubahan web tanpa token sah
2. callback gateway diuji dengan autentikasi gateway.</x:v>
      </x:c>
      <x:c r="F16" s="23" t="str">
        <x:v>Lingkungan QA; input HTML/script/manipulatif, token CSRF sah/tidak sah, file valid/terlarang/berlebih; akun nonpihak.</x:v>
      </x:c>
      <x:c r="G16" s="23" t="str">
        <x:v>Perubahan web ditolak; callback tidak memakai sesi Buyer sebagai bukti gateway.</x:v>
      </x:c>
      <x:c r="H16" s="23" t="str">
        <x:v>Data, sesi dan file terlindungi; request tidak sah tidak mengubah keadaan; password/token/kredensial tidak terbuka.</x:v>
      </x:c>
      <x:c r="I16" s="24"/>
      <x:c r="J16" s="25" t="str">
        <x:v>Not Run</x:v>
      </x:c>
    </x:row>
    <x:row r="17" ht="107" customHeight="1">
      <x:c r="A17" s="22" t="str">
        <x:v>TC-28-04</x:v>
      </x:c>
      <x:c r="B17" s="23" t="str">
        <x:v>TS-28
Keamanan dan privasi</x:v>
      </x:c>
      <x:c r="C17" s="23" t="str">
        <x:v>Validasi file
Prioritas: P1
Desain: TBD</x:v>
      </x:c>
      <x:c r="D17" s="23" t="str">
        <x:v>Lingkungan milik tim; data fiktif; tipe/ukuran file TBD.</x:v>
      </x:c>
      <x:c r="E17" s="23" t="str">
        <x:v>1. Uji valid, tipe terlarang, ekstensi berbeda isi, ukuran berlebih.</x:v>
      </x:c>
      <x:c r="F17" s="23" t="str">
        <x:v>Lingkungan QA; input HTML/script/manipulatif, token CSRF sah/tidak sah, file valid/terlarang/berlebih; akun nonpihak.
TBD: lengkapi aturan/data yang belum disahkan sebelum menjalankan kasus ini.</x:v>
      </x:c>
      <x:c r="G17" s="23" t="str">
        <x:v>Hanya file sesuai kebijakan; file tidak dieksekusi; batas TBD.</x:v>
      </x:c>
      <x:c r="H17" s="23" t="str">
        <x:v>Data, sesi dan file terlindungi; request tidak sah tidak mengubah keadaan; password/token/kredensial tidak terbuka.</x:v>
      </x:c>
      <x:c r="I17" s="24"/>
      <x:c r="J17" s="25" t="str">
        <x:v>Not Run</x:v>
      </x:c>
    </x:row>
    <x:row r="18" ht="100" customHeight="1">
      <x:c r="A18" s="22" t="str">
        <x:v>TC-28-05</x:v>
      </x:c>
      <x:c r="B18" s="23" t="str">
        <x:v>TS-28
Keamanan dan privasi</x:v>
      </x:c>
      <x:c r="C18" s="23" t="str">
        <x:v>Bukti dan hasil privat
Prioritas: P1
Desain: Review</x:v>
      </x:c>
      <x:c r="D18" s="23" t="str">
        <x:v>Lingkungan milik tim; data fiktif; tipe/ukuran file TBD.</x:v>
      </x:c>
      <x:c r="E18" s="23" t="str">
        <x:v>1. Akses URL bukti/hasil digital sebagai nonpihak/tanpa sesi.</x:v>
      </x:c>
      <x:c r="F18" s="23" t="str">
        <x:v>Lingkungan QA; input HTML/script/manipulatif, token CSRF sah/tidak sah, file valid/terlarang/berlebih; akun nonpihak.</x:v>
      </x:c>
      <x:c r="G18" s="23" t="str">
        <x:v>Tidak dapat diambil tanpa otorisasi.</x:v>
      </x:c>
      <x:c r="H18" s="23" t="str">
        <x:v>Data, sesi dan file terlindungi; request tidak sah tidak mengubah keadaan; password/token/kredensial tidak terbuka.</x:v>
      </x:c>
      <x:c r="I18" s="24"/>
      <x:c r="J18" s="25" t="str">
        <x:v>Not Run</x:v>
      </x:c>
    </x:row>
    <x:row r="19" ht="100" customHeight="1">
      <x:c r="A19" s="22" t="str">
        <x:v>TC-28-06</x:v>
      </x:c>
      <x:c r="B19" s="23" t="str">
        <x:v>TS-28
Keamanan dan privasi</x:v>
      </x:c>
      <x:c r="C19" s="23" t="str">
        <x:v>Rahasia tersimpan
Prioritas: P1
Desain: Review</x:v>
      </x:c>
      <x:c r="D19" s="23" t="str">
        <x:v>Lingkungan milik tim; data fiktif; tipe/ukuran file TBD.</x:v>
      </x:c>
      <x:c r="E19" s="23" t="str">
        <x:v>1. Periksa akun, response, audit/log dengan akses tim sah.</x:v>
      </x:c>
      <x:c r="F19" s="23" t="str">
        <x:v>Lingkungan QA; input HTML/script/manipulatif, token CSRF sah/tidak sah, file valid/terlarang/berlebih; akun nonpihak.</x:v>
      </x:c>
      <x:c r="G19" s="23" t="str">
        <x:v>Password hash; password/token/kredensial tidak tampil di response/audit/log.</x:v>
      </x:c>
      <x:c r="H19" s="23" t="str">
        <x:v>Data, sesi dan file terlindungi; request tidak sah tidak mengubah keadaan; password/token/kredensial tidak terbuka.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108" priority="1" operator="containsText" text="Pass"/>
    <x:cfRule type="containsText" dxfId="109" priority="2" operator="containsText" text="Fail"/>
    <x:cfRule type="containsText" dxfId="110" priority="3" operator="containsText" text="Blocked"/>
    <x:cfRule type="containsText" dxfId="111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7dc1e74834bf6"/>
  </x:tableParts>
</x:worksheet>
</file>

<file path=xl/worksheets/sheet29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TS-29  Tampilan dan kompatibilitas</x:v>
      </x:c>
      <x:c r="B2" s="4" t="str">
        <x:v>TS-29  Tampilan dan kompatibilitas</x:v>
      </x:c>
      <x:c r="C2" s="4" t="str">
        <x:v>TS-29  Tampilan dan kompatibilitas</x:v>
      </x:c>
      <x:c r="D2" s="4" t="str">
        <x:v>TS-29  Tampilan dan kompatibilitas</x:v>
      </x:c>
      <x:c r="E2" s="4" t="str">
        <x:v>TS-29  Tampilan dan kompatibilitas</x:v>
      </x:c>
      <x:c r="F2" s="4" t="str">
        <x:v>TS-29  Tampilan dan kompatibilitas</x:v>
      </x:c>
      <x:c r="G2" s="4" t="str">
        <x:v>TS-29  Tampilan dan kompatibilitas</x:v>
      </x:c>
      <x:c r="H2" s="4" t="str">
        <x:v>TS-29  Tampilan dan kompatibilitas</x:v>
      </x:c>
      <x:c r="I2" s="4" t="str">
        <x:v>TS-29  Tampilan dan kompatibilitas</x:v>
      </x:c>
      <x:c r="J2" s="4" t="str">
        <x:v>TS-29  Tampilan dan kompatibilitas</x:v>
      </x:c>
    </x:row>
    <x:row r="3" ht="20" customHeight="1">
      <x:c r="A3" s="5" t="str">
        <x:v>TC-29-01 sampai TC-29-03  |  3 test case  |  Rancangan revisi 0.2</x:v>
      </x:c>
      <x:c r="B3" s="5" t="str">
        <x:v>TC-29-01 sampai TC-29-03  |  3 test case  |  Rancangan revisi 0.2</x:v>
      </x:c>
      <x:c r="C3" s="5" t="str">
        <x:v>TC-29-01 sampai TC-29-03  |  3 test case  |  Rancangan revisi 0.2</x:v>
      </x:c>
      <x:c r="D3" s="5" t="str">
        <x:v>TC-29-01 sampai TC-29-03  |  3 test case  |  Rancangan revisi 0.2</x:v>
      </x:c>
      <x:c r="E3" s="5" t="str">
        <x:v>TC-29-01 sampai TC-29-03  |  3 test case  |  Rancangan revisi 0.2</x:v>
      </x:c>
      <x:c r="F3" s="5" t="str">
        <x:v>TC-29-01 sampai TC-29-03  |  3 test case  |  Rancangan revisi 0.2</x:v>
      </x:c>
      <x:c r="G3" s="5" t="str">
        <x:v>TC-29-01 sampai TC-29-03  |  3 test case  |  Rancangan revisi 0.2</x:v>
      </x:c>
      <x:c r="H3" s="5" t="str">
        <x:v>TC-29-01 sampai TC-29-03  |  3 test case  |  Rancangan revisi 0.2</x:v>
      </x:c>
      <x:c r="I3" s="5" t="str">
        <x:v>TC-29-01 sampai TC-29-03  |  3 test case  |  Rancangan revisi 0.2</x:v>
      </x:c>
      <x:c r="J3" s="5" t="str">
        <x:v>TC-29-01 sampai TC-29-03  |  3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Tampilan dan kompatibilitas</x:v>
      </x:c>
      <x:c r="D5" s="3" t="str">
        <x:v>Tampilan dan kompatibilitas</x:v>
      </x:c>
      <x:c r="E5" s="3" t="str">
        <x:v>Tampilan dan kompatibilitas</x:v>
      </x:c>
      <x:c r="F5" s="3" t="str">
        <x:v>Tampilan dan kompatibilitas</x:v>
      </x:c>
      <x:c r="G5" s="7" t="str">
        <x:v>Scenario ID</x:v>
      </x:c>
      <x:c r="H5" s="7" t="str">
        <x:v>Scenario ID</x:v>
      </x:c>
      <x:c r="I5" s="3" t="str">
        <x:v>TS-29</x:v>
      </x:c>
      <x:c r="J5" s="3" t="str">
        <x:v>TS-29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COUNTA(A14:A16)</x:f>
        <x:v>3</x:v>
      </x:c>
      <x:c r="C11" s="13" t="str">
        <x:v>Pass</x:v>
      </x:c>
      <x:c r="D11" s="14" t="n">
        <x:f>COUNTIFS(J14:J16,"Pass")</x:f>
        <x:v>0</x:v>
      </x:c>
      <x:c r="E11" s="13" t="str">
        <x:v>Fail</x:v>
      </x:c>
      <x:c r="F11" s="14" t="n">
        <x:f>COUNTIFS(J14:J16,"Fail")</x:f>
        <x:v>0</x:v>
      </x:c>
      <x:c r="G11" s="13" t="str">
        <x:v>Blocked</x:v>
      </x:c>
      <x:c r="H11" s="14" t="n">
        <x:f>COUNTIFS(J14:J16,"Blocked")</x:f>
        <x:v>0</x:v>
      </x:c>
      <x:c r="I11" s="13" t="str">
        <x:v>Not Run</x:v>
      </x:c>
      <x:c r="J11" s="14" t="n">
        <x:f>COUNTIFS(J14:J16,"Not Run")</x:f>
        <x:v>3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TC-29-01</x:v>
      </x:c>
      <x:c r="B14" s="23" t="str">
        <x:v>TS-29
Tampilan dan kompatibilitas</x:v>
      </x:c>
      <x:c r="C14" s="23" t="str">
        <x:v>Halaman utama
Prioritas: P2
Desain: Review</x:v>
      </x:c>
      <x:c r="D14" s="23" t="str">
        <x:v>Chrome desktop; viewport dicatat.</x:v>
      </x:c>
      <x:c r="E14" s="23" t="str">
        <x:v>1. Buka akun, marketplace, forum, DM, transaksi, Admin.</x:v>
      </x:c>
      <x:c r="F14" s="23" t="str">
        <x:v>Halaman akun, Marketplace, forum, DM, transaksi dan Admin; browser/viewport dicatat; data kosong dan gangguan koneksi QA.</x:v>
      </x:c>
      <x:c r="G14" s="23" t="str">
        <x:v>Form/tabel/tombol digunakan; isi penting tidak terpotong.</x:v>
      </x:c>
      <x:c r="H14" s="23" t="str">
        <x:v>Label, form dan keadaan UI konsisten dengan data; tidak menampilkan sukses palsu.</x:v>
      </x:c>
      <x:c r="I14" s="24"/>
      <x:c r="J14" s="25" t="str">
        <x:v>Not Run</x:v>
      </x:c>
    </x:row>
    <x:row r="15" ht="100" customHeight="1">
      <x:c r="A15" s="22" t="str">
        <x:v>TC-29-02</x:v>
      </x:c>
      <x:c r="B15" s="23" t="str">
        <x:v>TS-29
Tampilan dan kompatibilitas</x:v>
      </x:c>
      <x:c r="C15" s="23" t="str">
        <x:v>Nominal dan status
Prioritas: P2
Desain: Review</x:v>
      </x:c>
      <x:c r="D15" s="23" t="str">
        <x:v>Chrome desktop; viewport dicatat.</x:v>
      </x:c>
      <x:c r="E15" s="23" t="str">
        <x:v>1. Bandingkan checkout, agreement, payment, settlement.</x:v>
      </x:c>
      <x:c r="F15" s="23" t="str">
        <x:v>Halaman akun, Marketplace, forum, DM, transaksi dan Admin; browser/viewport dicatat; data kosong dan gangguan koneksi QA.</x:v>
      </x:c>
      <x:c r="G15" s="23" t="str">
        <x:v>Label harga, fee, total/net/status konsisten dan jelas.</x:v>
      </x:c>
      <x:c r="H15" s="23" t="str">
        <x:v>Label, form dan keadaan UI konsisten dengan data; tidak menampilkan sukses palsu.</x:v>
      </x:c>
      <x:c r="I15" s="24"/>
      <x:c r="J15" s="25" t="str">
        <x:v>Not Run</x:v>
      </x:c>
    </x:row>
    <x:row r="16" ht="100" customHeight="1">
      <x:c r="A16" s="22" t="str">
        <x:v>TC-29-03</x:v>
      </x:c>
      <x:c r="B16" s="23" t="str">
        <x:v>TS-29
Tampilan dan kompatibilitas</x:v>
      </x:c>
      <x:c r="C16" s="23" t="str">
        <x:v>Kosong gagal loading
Prioritas: P2
Desain: Review</x:v>
      </x:c>
      <x:c r="D16" s="23" t="str">
        <x:v>Chrome desktop; viewport dicatat.</x:v>
      </x:c>
      <x:c r="E16" s="23" t="str">
        <x:v>1. Uji data kosong, validasi gagal, gangguan koneksi.</x:v>
      </x:c>
      <x:c r="F16" s="23" t="str">
        <x:v>Halaman akun, Marketplace, forum, DM, transaksi dan Admin; browser/viewport dicatat; data kosong dan gangguan koneksi QA.</x:v>
      </x:c>
      <x:c r="G16" s="23" t="str">
        <x:v>Pesan jelas; tidak mengaku sukses ketika belum tersimpan.</x:v>
      </x:c>
      <x:c r="H16" s="23" t="str">
        <x:v>Label, form dan keadaan UI konsisten dengan data; tidak menampilkan sukses palsu.</x:v>
      </x:c>
      <x:c r="I16" s="24"/>
      <x:c r="J16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6">
    <x:cfRule type="containsText" dxfId="112" priority="1" operator="containsText" text="Pass"/>
    <x:cfRule type="containsText" dxfId="113" priority="2" operator="containsText" text="Fail"/>
    <x:cfRule type="containsText" dxfId="114" priority="3" operator="containsText" text="Blocked"/>
    <x:cfRule type="containsText" dxfId="115" priority="4" operator="containsText" text="Not Run"/>
  </x:conditionalFormatting>
  <x:dataValidations count="1">
    <x:dataValidation type="list" sqref="J14:J16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bf56ea012e463b"/>
  </x:tableParts>
</x:worksheet>
</file>

<file path=xl/worksheets/sheet30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TS-30  End to end</x:v>
      </x:c>
      <x:c r="B2" s="4" t="str">
        <x:v>TS-30  End to end</x:v>
      </x:c>
      <x:c r="C2" s="4" t="str">
        <x:v>TS-30  End to end</x:v>
      </x:c>
      <x:c r="D2" s="4" t="str">
        <x:v>TS-30  End to end</x:v>
      </x:c>
      <x:c r="E2" s="4" t="str">
        <x:v>TS-30  End to end</x:v>
      </x:c>
      <x:c r="F2" s="4" t="str">
        <x:v>TS-30  End to end</x:v>
      </x:c>
      <x:c r="G2" s="4" t="str">
        <x:v>TS-30  End to end</x:v>
      </x:c>
      <x:c r="H2" s="4" t="str">
        <x:v>TS-30  End to end</x:v>
      </x:c>
      <x:c r="I2" s="4" t="str">
        <x:v>TS-30  End to end</x:v>
      </x:c>
      <x:c r="J2" s="4" t="str">
        <x:v>TS-30  End to end</x:v>
      </x:c>
    </x:row>
    <x:row r="3" ht="20" customHeight="1">
      <x:c r="A3" s="5" t="str">
        <x:v>TC-30-01 sampai TC-30-04  |  4 test case  |  Rancangan revisi 0.2</x:v>
      </x:c>
      <x:c r="B3" s="5" t="str">
        <x:v>TC-30-01 sampai TC-30-04  |  4 test case  |  Rancangan revisi 0.2</x:v>
      </x:c>
      <x:c r="C3" s="5" t="str">
        <x:v>TC-30-01 sampai TC-30-04  |  4 test case  |  Rancangan revisi 0.2</x:v>
      </x:c>
      <x:c r="D3" s="5" t="str">
        <x:v>TC-30-01 sampai TC-30-04  |  4 test case  |  Rancangan revisi 0.2</x:v>
      </x:c>
      <x:c r="E3" s="5" t="str">
        <x:v>TC-30-01 sampai TC-30-04  |  4 test case  |  Rancangan revisi 0.2</x:v>
      </x:c>
      <x:c r="F3" s="5" t="str">
        <x:v>TC-30-01 sampai TC-30-04  |  4 test case  |  Rancangan revisi 0.2</x:v>
      </x:c>
      <x:c r="G3" s="5" t="str">
        <x:v>TC-30-01 sampai TC-30-04  |  4 test case  |  Rancangan revisi 0.2</x:v>
      </x:c>
      <x:c r="H3" s="5" t="str">
        <x:v>TC-30-01 sampai TC-30-04  |  4 test case  |  Rancangan revisi 0.2</x:v>
      </x:c>
      <x:c r="I3" s="5" t="str">
        <x:v>TC-30-01 sampai TC-30-04  |  4 test case  |  Rancangan revisi 0.2</x:v>
      </x:c>
      <x:c r="J3" s="5" t="str">
        <x:v>TC-30-01 sampai TC-30-04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End to end</x:v>
      </x:c>
      <x:c r="D5" s="3" t="str">
        <x:v>End to end</x:v>
      </x:c>
      <x:c r="E5" s="3" t="str">
        <x:v>End to end</x:v>
      </x:c>
      <x:c r="F5" s="3" t="str">
        <x:v>End to end</x:v>
      </x:c>
      <x:c r="G5" s="7" t="str">
        <x:v>Scenario ID</x:v>
      </x:c>
      <x:c r="H5" s="7" t="str">
        <x:v>Scenario ID</x:v>
      </x:c>
      <x:c r="I5" s="3" t="str">
        <x:v>TS-30</x:v>
      </x:c>
      <x:c r="J5" s="3" t="str">
        <x:v>TS-30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TC-30-01</x:v>
      </x:c>
      <x:c r="B14" s="23" t="str">
        <x:v>TS-30
End to end</x:v>
      </x:c>
      <x:c r="C14" s="23" t="str">
        <x:v>Marketplace payout
Prioritas: P1
Desain: Review</x:v>
      </x:c>
      <x:c r="D14" s="23" t="str">
        <x:v>Modul siap; transaksi baru untuk tiap kasus/cabang.</x:v>
      </x:c>
      <x:c r="E14" s="23" t="str">
        <x:v>1. Listing → checkout → bayar → serah → konfirmasi → payout.</x:v>
      </x:c>
      <x:c r="F14" s="23" t="str">
        <x:v>Transaksi QA baru per cabang; Marketplace, Forum EX/INC; Buyer/Seller/Admin; sandbox serta data penyerahan dan komplain.</x:v>
      </x:c>
      <x:c r="G14" s="23" t="str">
        <x:v>COMPLETED; snapshot/nominal/riwayat/bukti/notifikasi konsisten.</x:v>
      </x:c>
      <x:c r="H14" s="23" t="str">
        <x:v>Satu status akhir sah dengan snapshot, nominal, history, bukti dan notifikasi konsisten; tanpa efek ganda.</x:v>
      </x:c>
      <x:c r="I14" s="24"/>
      <x:c r="J14" s="25" t="str">
        <x:v>Not Run</x:v>
      </x:c>
    </x:row>
    <x:row r="15" ht="100" customHeight="1">
      <x:c r="A15" s="22" t="str">
        <x:v>TC-30-02</x:v>
      </x:c>
      <x:c r="B15" s="23" t="str">
        <x:v>TS-30
End to end</x:v>
      </x:c>
      <x:c r="C15" s="23" t="str">
        <x:v>Forum exclude payout
Prioritas: P1
Desain: Review</x:v>
      </x:c>
      <x:c r="D15" s="23" t="str">
        <x:v>Modul siap; transaksi baru untuk tiap kasus/cabang.</x:v>
      </x:c>
      <x:c r="E15" s="23" t="str">
        <x:v>1. Post/DM → draft exclude → dua persetujuan → bayar → serah → konfirmasi → payout.</x:v>
      </x:c>
      <x:c r="F15" s="23" t="str">
        <x:v>Transaksi QA baru per cabang; Marketplace, Forum EX/INC; Buyer/Seller/Admin; sandbox serta data penyerahan dan komplain.</x:v>
      </x:c>
      <x:c r="G15" s="23" t="str">
        <x:v>Buyer harga + fee; Seller harga dasar; COMPLETED.</x:v>
      </x:c>
      <x:c r="H15" s="23" t="str">
        <x:v>Satu status akhir sah dengan snapshot, nominal, history, bukti dan notifikasi konsisten; tanpa efek ganda.</x:v>
      </x:c>
      <x:c r="I15" s="24"/>
      <x:c r="J15" s="25" t="str">
        <x:v>Not Run</x:v>
      </x:c>
    </x:row>
    <x:row r="16" ht="100" customHeight="1">
      <x:c r="A16" s="22" t="str">
        <x:v>TC-30-03</x:v>
      </x:c>
      <x:c r="B16" s="23" t="str">
        <x:v>TS-30
End to end</x:v>
      </x:c>
      <x:c r="C16" s="23" t="str">
        <x:v>Forum include revisi
Prioritas: P1
Desain: Review</x:v>
      </x:c>
      <x:c r="D16" s="23" t="str">
        <x:v>Modul siap; transaksi baru untuk tiap kasus/cabang.</x:v>
      </x:c>
      <x:c r="E16" s="23" t="str">
        <x:v>1. Post/DM → include → revisi → setuju terbaru → bayar → serah → konfirmasi → payout.</x:v>
      </x:c>
      <x:c r="F16" s="23" t="str">
        <x:v>Transaksi QA baru per cabang; Marketplace, Forum EX/INC; Buyer/Seller/Admin; sandbox serta data penyerahan dan komplain.</x:v>
      </x:c>
      <x:c r="G16" s="23" t="str">
        <x:v>Persetujuan lama batal; Buyer harga dasar; Seller dipotong fee; COMPLETED.</x:v>
      </x:c>
      <x:c r="H16" s="23" t="str">
        <x:v>Satu status akhir sah dengan snapshot, nominal, history, bukti dan notifikasi konsisten; tanpa efek ganda.</x:v>
      </x:c>
      <x:c r="I16" s="24"/>
      <x:c r="J16" s="25" t="str">
        <x:v>Not Run</x:v>
      </x:c>
    </x:row>
    <x:row r="17" ht="100" customHeight="1">
      <x:c r="A17" s="22" t="str">
        <x:v>TC-30-04</x:v>
      </x:c>
      <x:c r="B17" s="23" t="str">
        <x:v>TS-30
End to end</x:v>
      </x:c>
      <x:c r="C17" s="23" t="str">
        <x:v>Komplain settlement
Prioritas: P1
Desain: Review</x:v>
      </x:c>
      <x:c r="D17" s="23" t="str">
        <x:v>Modul siap; transaksi baru untuk tiap kasus/cabang.</x:v>
      </x:c>
      <x:c r="E17" s="23" t="str">
        <x:v>1. Bayar → serah → komplain → tanggapan → keputusan → settlement
2. uji PAYOUT/REFUND terpisah.</x:v>
      </x:c>
      <x:c r="F17" s="23" t="str">
        <x:v>Transaksi QA baru per cabang; Marketplace, Forum EX/INC; Buyer/Seller/Admin; sandbox serta data penyerahan dan komplain.</x:v>
      </x:c>
      <x:c r="G17" s="23" t="str">
        <x:v>Status akhir sesuai; satu final; tidak ada efek/poin/notifikasi ganda.</x:v>
      </x:c>
      <x:c r="H17" s="23" t="str">
        <x:v>Satu status akhir sah dengan snapshot, nominal, history, bukti dan notifikasi konsisten; tanpa efek ganda.</x:v>
      </x:c>
      <x:c r="I17" s="24"/>
      <x:c r="J17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116" priority="1" operator="containsText" text="Pass"/>
    <x:cfRule type="containsText" dxfId="117" priority="2" operator="containsText" text="Fail"/>
    <x:cfRule type="containsText" dxfId="118" priority="3" operator="containsText" text="Blocked"/>
    <x:cfRule type="containsText" dxfId="119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0ee838a9d448e"/>
  </x:tableParts>
</x:worksheet>
</file>

<file path=xl/worksheets/sheet31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TS-31  Tenggat dan transisi</x:v>
      </x:c>
      <x:c r="B2" s="4" t="str">
        <x:v>TS-31  Tenggat dan transisi</x:v>
      </x:c>
      <x:c r="C2" s="4" t="str">
        <x:v>TS-31  Tenggat dan transisi</x:v>
      </x:c>
      <x:c r="D2" s="4" t="str">
        <x:v>TS-31  Tenggat dan transisi</x:v>
      </x:c>
      <x:c r="E2" s="4" t="str">
        <x:v>TS-31  Tenggat dan transisi</x:v>
      </x:c>
      <x:c r="F2" s="4" t="str">
        <x:v>TS-31  Tenggat dan transisi</x:v>
      </x:c>
      <x:c r="G2" s="4" t="str">
        <x:v>TS-31  Tenggat dan transisi</x:v>
      </x:c>
      <x:c r="H2" s="4" t="str">
        <x:v>TS-31  Tenggat dan transisi</x:v>
      </x:c>
      <x:c r="I2" s="4" t="str">
        <x:v>TS-31  Tenggat dan transisi</x:v>
      </x:c>
      <x:c r="J2" s="4" t="str">
        <x:v>TS-31  Tenggat dan transisi</x:v>
      </x:c>
    </x:row>
    <x:row r="3" ht="20" customHeight="1">
      <x:c r="A3" s="5" t="str">
        <x:v>TC-31-01 sampai TC-31-11  |  11 test case  |  Rancangan revisi 0.2</x:v>
      </x:c>
      <x:c r="B3" s="5" t="str">
        <x:v>TC-31-01 sampai TC-31-11  |  11 test case  |  Rancangan revisi 0.2</x:v>
      </x:c>
      <x:c r="C3" s="5" t="str">
        <x:v>TC-31-01 sampai TC-31-11  |  11 test case  |  Rancangan revisi 0.2</x:v>
      </x:c>
      <x:c r="D3" s="5" t="str">
        <x:v>TC-31-01 sampai TC-31-11  |  11 test case  |  Rancangan revisi 0.2</x:v>
      </x:c>
      <x:c r="E3" s="5" t="str">
        <x:v>TC-31-01 sampai TC-31-11  |  11 test case  |  Rancangan revisi 0.2</x:v>
      </x:c>
      <x:c r="F3" s="5" t="str">
        <x:v>TC-31-01 sampai TC-31-11  |  11 test case  |  Rancangan revisi 0.2</x:v>
      </x:c>
      <x:c r="G3" s="5" t="str">
        <x:v>TC-31-01 sampai TC-31-11  |  11 test case  |  Rancangan revisi 0.2</x:v>
      </x:c>
      <x:c r="H3" s="5" t="str">
        <x:v>TC-31-01 sampai TC-31-11  |  11 test case  |  Rancangan revisi 0.2</x:v>
      </x:c>
      <x:c r="I3" s="5" t="str">
        <x:v>TC-31-01 sampai TC-31-11  |  11 test case  |  Rancangan revisi 0.2</x:v>
      </x:c>
      <x:c r="J3" s="5" t="str">
        <x:v>TC-31-01 sampai TC-31-11  |  11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Tenggat dan transisi</x:v>
      </x:c>
      <x:c r="D5" s="3" t="str">
        <x:v>Tenggat dan transisi</x:v>
      </x:c>
      <x:c r="E5" s="3" t="str">
        <x:v>Tenggat dan transisi</x:v>
      </x:c>
      <x:c r="F5" s="3" t="str">
        <x:v>Tenggat dan transisi</x:v>
      </x:c>
      <x:c r="G5" s="7" t="str">
        <x:v>Scenario ID</x:v>
      </x:c>
      <x:c r="H5" s="7" t="str">
        <x:v>Scenario ID</x:v>
      </x:c>
      <x:c r="I5" s="3" t="str">
        <x:v>TS-31</x:v>
      </x:c>
      <x:c r="J5" s="3" t="str">
        <x:v>TS-31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COUNTA(A14:A24)</x:f>
        <x:v>11</x:v>
      </x:c>
      <x:c r="C11" s="13" t="str">
        <x:v>Pass</x:v>
      </x:c>
      <x:c r="D11" s="14" t="n">
        <x:f>COUNTIFS(J14:J24,"Pass")</x:f>
        <x:v>0</x:v>
      </x:c>
      <x:c r="E11" s="13" t="str">
        <x:v>Fail</x:v>
      </x:c>
      <x:c r="F11" s="14" t="n">
        <x:f>COUNTIFS(J14:J24,"Fail")</x:f>
        <x:v>0</x:v>
      </x:c>
      <x:c r="G11" s="13" t="str">
        <x:v>Blocked</x:v>
      </x:c>
      <x:c r="H11" s="14" t="n">
        <x:f>COUNTIFS(J14:J24,"Blocked")</x:f>
        <x:v>0</x:v>
      </x:c>
      <x:c r="I11" s="13" t="str">
        <x:v>Not Run</x:v>
      </x:c>
      <x:c r="J11" s="14" t="n">
        <x:f>COUNTIFS(J14:J24,"Not Run")</x:f>
        <x:v>11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46" customHeight="1">
      <x:c r="A14" s="22" t="str">
        <x:v>TC-31-01</x:v>
      </x:c>
      <x:c r="B14" s="23" t="str">
        <x:v>TS-31
Tenggat dan transisi</x:v>
      </x:c>
      <x:c r="C14" s="23" t="str">
        <x:v>Tenggat pembayaran 1 jam
Prioritas: P1
Desain: TBD</x:v>
      </x:c>
      <x:c r="D14" s="23" t="str">
        <x:v>Server, scheduler, dan queue dapat dikontrol dengan waktu uji. Titik mulai serta aturan tepat pada tenggat disahkan sebelum eksekusi.</x:v>
      </x:c>
      <x:c r="E14" s="23" t="str">
        <x:v>1. Setelah titik awal pembayaran disahkan, uji t+3599, t+3600, t+3601 detik pada transaksi berbeda.</x:v>
      </x:c>
      <x:c r="F14" s="23" t="str">
        <x:v>Timestamp server t0/due_at; transaksi baru tiap batas; queue/scheduler QA; callback dan komplain aktif; waktu backend terkendali.
Nilai khusus: +3599; +3600; +3601.
TBD: lengkapi aturan/data yang belum disahkan sebelum menjalankan kasus ini.</x:v>
      </x:c>
      <x:c r="G14" s="23" t="str">
        <x:v>Durasi tersimpan 3600 detik dari titik awal yang disahkan; pending/expired tidak menjadi PAID. Hasil tepat batas dan callback terlambat mengikuti keputusan D03.</x:v>
      </x:c>
      <x:c r="H14" s="23" t="str">
        <x:v>Tenggat/transisi sesuai aturan yang disahkan; scheduler ulang tidak menggandakan efek; komplain aktif menahan payout.</x:v>
      </x:c>
      <x:c r="I14" s="24"/>
      <x:c r="J14" s="25" t="str">
        <x:v>Not Run</x:v>
      </x:c>
    </x:row>
    <x:row r="15" ht="146" customHeight="1">
      <x:c r="A15" s="22" t="str">
        <x:v>TC-31-02</x:v>
      </x:c>
      <x:c r="B15" s="23" t="str">
        <x:v>TS-31
Tenggat dan transisi</x:v>
      </x:c>
      <x:c r="C15" s="23" t="str">
        <x:v>Tenggat penyerahan
Prioritas: P1
Desain: TBD</x:v>
      </x:c>
      <x:c r="D15" s="23" t="str">
        <x:v>Server, scheduler, dan queue dapat dikontrol dengan waktu uji. Titik mulai serta aturan tepat pada tenggat disahkan sebelum eksekusi.</x:v>
      </x:c>
      <x:c r="E15" s="23" t="str">
        <x:v>1. 1 jam. Pada pembayaran sah t0, periksa delivery_due_at dan uji penyerahan pada t0+3599, +3600, +3601.</x:v>
      </x:c>
      <x:c r="F15" s="23" t="str">
        <x:v>Timestamp server t0/due_at; transaksi baru tiap batas; queue/scheduler QA; callback dan komplain aktif; waktu backend terkendali.
Nilai khusus: t0+3599; +3600; +3601.
TBD: lengkapi aturan/data yang belum disahkan sebelum menjalankan kasus ini.</x:v>
      </x:c>
      <x:c r="G15" s="23" t="str">
        <x:v>delivery_due_at = paid_at + 3600 detik; notifikasi/peringatan tidak menduplikasi. Tindakan sesudah batas menunggu aturan tambahan waktu D04.</x:v>
      </x:c>
      <x:c r="H15" s="23" t="str">
        <x:v>Tenggat/transisi sesuai aturan yang disahkan; scheduler ulang tidak menggandakan efek; komplain aktif menahan payout.</x:v>
      </x:c>
      <x:c r="I15" s="24"/>
      <x:c r="J15" s="25" t="str">
        <x:v>Not Run</x:v>
      </x:c>
    </x:row>
    <x:row r="16" ht="146" customHeight="1">
      <x:c r="A16" s="22" t="str">
        <x:v>TC-31-03</x:v>
      </x:c>
      <x:c r="B16" s="23" t="str">
        <x:v>TS-31
Tenggat dan transisi</x:v>
      </x:c>
      <x:c r="C16" s="23" t="str">
        <x:v>Konfirmasi dan komplain
Prioritas: P1
Desain: TBD</x:v>
      </x:c>
      <x:c r="D16" s="23" t="str">
        <x:v>Server, scheduler, dan queue dapat dikontrol dengan waktu uji. Titik mulai serta aturan tepat pada tenggat disahkan sebelum eksekusi.</x:v>
      </x:c>
      <x:c r="E16" s="23" t="str">
        <x:v>1. Untuk penyerahan sah t0, uji tindakan Buyer pada +3599, +3600, +3601 dan +5400 detik
2. gunakan transaksi berbeda.</x:v>
      </x:c>
      <x:c r="F16" s="23" t="str">
        <x:v>Timestamp server t0/due_at; transaksi baru tiap batas; queue/scheduler QA; callback dan komplain aktif; waktu backend terkendali.
Nilai khusus: +3599; +3600; +3601; +5400.
TBD: lengkapi aturan/data yang belum disahkan sebelum menjalankan kasus ini.</x:v>
      </x:c>
      <x:c r="G16" s="23" t="str">
        <x:v>Jendela konfirmasi 1 jam dan tambahan 30 menit diperhitungkan; komplain aktif menahan kelayakan payout. Transisi tepat batas dan pemicu payout mengikuti D05; bukan bukti transfer otomatis.</x:v>
      </x:c>
      <x:c r="H16" s="23" t="str">
        <x:v>Tenggat/transisi sesuai aturan yang disahkan; scheduler ulang tidak menggandakan efek; komplain aktif menahan payout.</x:v>
      </x:c>
      <x:c r="I16" s="24"/>
      <x:c r="J16" s="25" t="str">
        <x:v>Not Run</x:v>
      </x:c>
    </x:row>
    <x:row r="17" ht="100" customHeight="1">
      <x:c r="A17" s="22" t="str">
        <x:v>TC-31-04</x:v>
      </x:c>
      <x:c r="B17" s="23" t="str">
        <x:v>TS-31
Tenggat dan transisi</x:v>
      </x:c>
      <x:c r="C17" s="23" t="str">
        <x:v>Transisi ilegal bersamaan
Prioritas: P1
Desain: Review</x:v>
      </x:c>
      <x:c r="D17" s="23" t="str">
        <x:v>Server, scheduler, dan queue dapat dikontrol dengan waktu uji. Titik mulai serta aturan tepat pada tenggat disahkan sebelum eksekusi.</x:v>
      </x:c>
      <x:c r="E17" s="23" t="str">
        <x:v>1. Coba WAITING_PAYMENT → COMPLETED
2. konfirmasi vs komplain
3. payout vs refund bersamaan.</x:v>
      </x:c>
      <x:c r="F17" s="23" t="str">
        <x:v>Timestamp server t0/due_at; transaksi baru tiap batas; queue/scheduler QA; callback dan komplain aktif; waktu backend terkendali.</x:v>
      </x:c>
      <x:c r="G17" s="23" t="str">
        <x:v>Transisi ilegal ditolak; satu hasil sah; status/history/settlement konsisten.</x:v>
      </x:c>
      <x:c r="H17" s="23" t="str">
        <x:v>Tenggat/transisi sesuai aturan yang disahkan; scheduler ulang tidak menggandakan efek; komplain aktif menahan payout.</x:v>
      </x:c>
      <x:c r="I17" s="24"/>
      <x:c r="J17" s="25" t="str">
        <x:v>Not Run</x:v>
      </x:c>
    </x:row>
    <x:row r="18" ht="120" customHeight="1">
      <x:c r="A18" s="22" t="str">
        <x:v>TC-31-05</x:v>
      </x:c>
      <x:c r="B18" s="23" t="str">
        <x:v>TS-31
Tenggat dan transisi</x:v>
      </x:c>
      <x:c r="C18" s="23" t="str">
        <x:v>Notifikasi tambahan waktu
Prioritas: P1
Desain: TBD</x:v>
      </x:c>
      <x:c r="D18" s="23" t="str">
        <x:v>Server, scheduler, dan queue dapat dikontrol dengan waktu uji. Titik mulai serta aturan tepat pada tenggat disahkan sebelum eksekusi.</x:v>
      </x:c>
      <x:c r="E18" s="23" t="str">
        <x:v>1. Biarkan konfirmasi Buyer melewati 1 jam hingga tambahan 30 menit
2. jalankan scheduler pada waktu terkendali.</x:v>
      </x:c>
      <x:c r="F18" s="23" t="str">
        <x:v>Timestamp server t0/due_at; transaksi baru tiap batas; queue/scheduler QA; callback dan komplain aktif; waktu backend terkendali.
TBD: lengkapi aturan/data yang belum disahkan sebelum menjalankan kasus ini.</x:v>
      </x:c>
      <x:c r="G18" s="23" t="str">
        <x:v>Notifikasi yang disahkan terkirim sekali kepada penerima tepat; jadwal 30 menit tercatat; nama event disesuaikan implementasi.</x:v>
      </x:c>
      <x:c r="H18" s="23" t="str">
        <x:v>Tenggat/transisi sesuai aturan yang disahkan; scheduler ulang tidak menggandakan efek; komplain aktif menahan payout.</x:v>
      </x:c>
      <x:c r="I18" s="24"/>
      <x:c r="J18" s="25" t="str">
        <x:v>Not Run</x:v>
      </x:c>
    </x:row>
    <x:row r="19" ht="100" customHeight="1">
      <x:c r="A19" s="22" t="str">
        <x:v>TC-31-06</x:v>
      </x:c>
      <x:c r="B19" s="23" t="str">
        <x:v>TS-31
Tenggat dan transisi</x:v>
      </x:c>
      <x:c r="C19" s="23" t="str">
        <x:v>Komplain menahan payout
Prioritas: P1
Desain: Review</x:v>
      </x:c>
      <x:c r="D19" s="23" t="str">
        <x:v>Server, scheduler, dan queue dapat dikontrol dengan waktu uji. Titik mulai serta aturan tepat pada tenggat disahkan sebelum eksekusi.</x:v>
      </x:c>
      <x:c r="E19" s="23" t="str">
        <x:v>1. Buat komplain aktif sebelum pemrosesan tenggat
2. jalankan scheduler dua kali.</x:v>
      </x:c>
      <x:c r="F19" s="23" t="str">
        <x:v>Timestamp server t0/due_at; transaksi baru tiap batas; queue/scheduler QA; callback dan komplain aktif; waktu backend terkendali.</x:v>
      </x:c>
      <x:c r="G19" s="23" t="str">
        <x:v>Tidak ada settlement payout final selama komplain aktif; tidak ada efek ganda.</x:v>
      </x:c>
      <x:c r="H19" s="23" t="str">
        <x:v>Tenggat/transisi sesuai aturan yang disahkan; scheduler ulang tidak menggandakan efek; komplain aktif menahan payout.</x:v>
      </x:c>
      <x:c r="I19" s="24"/>
      <x:c r="J19" s="25" t="str">
        <x:v>Not Run</x:v>
      </x:c>
    </x:row>
    <x:row r="20" ht="120" customHeight="1">
      <x:c r="A20" s="22" t="str">
        <x:v>TC-31-07</x:v>
      </x:c>
      <x:c r="B20" s="23" t="str">
        <x:v>TS-31
Tenggat dan transisi</x:v>
      </x:c>
      <x:c r="C20" s="23" t="str">
        <x:v>Tenggat payout
Prioritas: P1
Desain: TBD</x:v>
      </x:c>
      <x:c r="D20" s="23" t="str">
        <x:v>Server, scheduler, dan queue dapat dikontrol dengan waktu uji. Titik mulai serta aturan tepat pada tenggat disahkan sebelum eksekusi.</x:v>
      </x:c>
      <x:c r="E20" s="23" t="str">
        <x:v>1. Setelah syarat payout terpenuhi, hitung 1 jam dari event awal yang disahkan dan uji sebelum/pada/sesudah batas.</x:v>
      </x:c>
      <x:c r="F20" s="23" t="str">
        <x:v>Timestamp server t0/due_at; transaksi baru tiap batas; queue/scheduler QA; callback dan komplain aktif; waktu backend terkendali.
TBD: lengkapi aturan/data yang belum disahkan sebelum menjalankan kasus ini.</x:v>
      </x:c>
      <x:c r="G20" s="23" t="str">
        <x:v>payout_due_at sesuai 3600 detik; tindak lanjut sesuai D05. Keterlambatan tidak dicatat seolah transfer sudah berhasil.</x:v>
      </x:c>
      <x:c r="H20" s="23" t="str">
        <x:v>Tenggat/transisi sesuai aturan yang disahkan; scheduler ulang tidak menggandakan efek; komplain aktif menahan payout.</x:v>
      </x:c>
      <x:c r="I20" s="24"/>
      <x:c r="J20" s="25" t="str">
        <x:v>Not Run</x:v>
      </x:c>
    </x:row>
    <x:row r="21" ht="120" customHeight="1">
      <x:c r="A21" s="22" t="str">
        <x:v>TC-31-08</x:v>
      </x:c>
      <x:c r="B21" s="23" t="str">
        <x:v>TS-31
Tenggat dan transisi</x:v>
      </x:c>
      <x:c r="C21" s="23" t="str">
        <x:v>Callback sukses setelah expired
Prioritas: P1
Desain: TBD</x:v>
      </x:c>
      <x:c r="D21" s="23" t="str">
        <x:v>Server, scheduler, dan queue dapat dikontrol dengan waktu uji. Titik mulai serta aturan tepat pada tenggat disahkan sebelum eksekusi.</x:v>
      </x:c>
      <x:c r="E21" s="23" t="str">
        <x:v>1. Kirim callback sukses sah setelah tenggat atau pembatalan.</x:v>
      </x:c>
      <x:c r="F21" s="23" t="str">
        <x:v>Timestamp server t0/due_at; transaksi baru tiap batas; queue/scheduler QA; callback dan komplain aktif; waktu backend terkendali.
TBD: lengkapi aturan/data yang belum disahkan sebelum menjalankan kasus ini.</x:v>
      </x:c>
      <x:c r="G21" s="23" t="str">
        <x:v>Hasil mengikuti keputusan D03; callback tidak hilang diam-diam dan tidak memicu payout tanpa rekonsiliasi.</x:v>
      </x:c>
      <x:c r="H21" s="23" t="str">
        <x:v>Tenggat/transisi sesuai aturan yang disahkan; scheduler ulang tidak menggandakan efek; komplain aktif menahan payout.</x:v>
      </x:c>
      <x:c r="I21" s="24"/>
      <x:c r="J21" s="25" t="str">
        <x:v>Not Run</x:v>
      </x:c>
    </x:row>
    <x:row r="22" ht="100" customHeight="1">
      <x:c r="A22" s="22" t="str">
        <x:v>TC-31-09</x:v>
      </x:c>
      <x:c r="B22" s="23" t="str">
        <x:v>TS-31
Tenggat dan transisi</x:v>
      </x:c>
      <x:c r="C22" s="23" t="str">
        <x:v>Scheduler berulang
Prioritas: P1
Desain: Review</x:v>
      </x:c>
      <x:c r="D22" s="23" t="str">
        <x:v>Server, scheduler, dan queue dapat dikontrol dengan waktu uji. Titik mulai serta aturan tepat pada tenggat disahkan sebelum eksekusi.</x:v>
      </x:c>
      <x:c r="E22" s="23" t="str">
        <x:v>1. Proses transaksi jatuh tempo dengan job yang sama dua kali, termasuk percobaan berdekatan.</x:v>
      </x:c>
      <x:c r="F22" s="23" t="str">
        <x:v>Timestamp server t0/due_at; transaksi baru tiap batas; queue/scheduler QA; callback dan komplain aktif; waktu backend terkendali.</x:v>
      </x:c>
      <x:c r="G22" s="23" t="str">
        <x:v>Maksimal satu perubahan bisnis yang sah dan satu notifikasi per event; audit menyimpan urutan benar.</x:v>
      </x:c>
      <x:c r="H22" s="23" t="str">
        <x:v>Tenggat/transisi sesuai aturan yang disahkan; scheduler ulang tidak menggandakan efek; komplain aktif menahan payout.</x:v>
      </x:c>
      <x:c r="I22" s="24"/>
      <x:c r="J22" s="25" t="str">
        <x:v>Not Run</x:v>
      </x:c>
    </x:row>
    <x:row r="23" ht="100" customHeight="1">
      <x:c r="A23" s="22" t="str">
        <x:v>TC-31-10</x:v>
      </x:c>
      <x:c r="B23" s="23" t="str">
        <x:v>TS-31
Tenggat dan transisi</x:v>
      </x:c>
      <x:c r="C23" s="23" t="str">
        <x:v>Waktu server
Prioritas: P2
Desain: Review</x:v>
      </x:c>
      <x:c r="D23" s="23" t="str">
        <x:v>Server, scheduler, dan queue dapat dikontrol dengan waktu uji. Titik mulai serta aturan tepat pada tenggat disahkan sebelum eksekusi.</x:v>
      </x:c>
      <x:c r="E23" s="23" t="str">
        <x:v>1. Bandingkan timestamp tersimpan dengan tampilan WIB pada forum, pesan dan transaksi menggunakan satu event acuan.</x:v>
      </x:c>
      <x:c r="F23" s="23" t="str">
        <x:v>Timestamp server t0/due_at; transaksi baru tiap batas; queue/scheduler QA; callback dan komplain aktif; waktu backend terkendali.</x:v>
      </x:c>
      <x:c r="G23" s="23" t="str">
        <x:v>Konversi waktu konsisten; countdown memakai tenggat server, bukan perubahan jam browser.</x:v>
      </x:c>
      <x:c r="H23" s="23" t="str">
        <x:v>Tenggat/transisi sesuai aturan yang disahkan; scheduler ulang tidak menggandakan efek; komplain aktif menahan payout.</x:v>
      </x:c>
      <x:c r="I23" s="24"/>
      <x:c r="J23" s="25" t="str">
        <x:v>Not Run</x:v>
      </x:c>
    </x:row>
    <x:row r="24" ht="120" customHeight="1">
      <x:c r="A24" s="22" t="str">
        <x:v>TC-31-11</x:v>
      </x:c>
      <x:c r="B24" s="23" t="str">
        <x:v>TS-31
Tenggat dan transisi</x:v>
      </x:c>
      <x:c r="C24" s="23" t="str">
        <x:v>Durasi penanganan komplain
Prioritas: P1
Desain: TBD</x:v>
      </x:c>
      <x:c r="D24" s="23" t="str">
        <x:v>Server, scheduler, dan queue dapat dikontrol dengan waktu uji. Titik mulai serta aturan tepat pada tenggat disahkan sebelum eksekusi.</x:v>
      </x:c>
      <x:c r="E24" s="23" t="str">
        <x:v>1. Pada kasus aktif, uji tenggat tanggapan dan keputusan setelah nilainya disahkan.</x:v>
      </x:c>
      <x:c r="F24" s="23" t="str">
        <x:v>Timestamp server t0/due_at; transaksi baru tiap batas; queue/scheduler QA; callback dan komplain aktif; waktu backend terkendali.
TBD: lengkapi aturan/data yang belum disahkan sebelum menjalankan kasus ini.</x:v>
      </x:c>
      <x:c r="G24" s="23" t="str">
        <x:v>Durasi, peringatan dan eskalasi sesuai keputusan D04; selama belum final tidak diisi nilai asumsi.</x:v>
      </x:c>
      <x:c r="H24" s="23" t="str">
        <x:v>Tenggat/transisi sesuai aturan yang disahkan; scheduler ulang tidak menggandakan efek; komplain aktif menahan payout.</x:v>
      </x:c>
      <x:c r="I24" s="24"/>
      <x:c r="J24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4">
    <x:cfRule type="containsText" dxfId="120" priority="1" operator="containsText" text="Pass"/>
    <x:cfRule type="containsText" dxfId="121" priority="2" operator="containsText" text="Fail"/>
    <x:cfRule type="containsText" dxfId="122" priority="3" operator="containsText" text="Blocked"/>
    <x:cfRule type="containsText" dxfId="123" priority="4" operator="containsText" text="Not Run"/>
  </x:conditionalFormatting>
  <x:dataValidations count="1">
    <x:dataValidation type="list" sqref="J14:J24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4b4c4c9ac4007"/>
  </x:tableParts>
</x:worksheet>
</file>

<file path=xl/worksheets/sheet32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TS-32  Profil pengguna</x:v>
      </x:c>
      <x:c r="B2" s="4" t="str">
        <x:v>TS-32  Profil pengguna</x:v>
      </x:c>
      <x:c r="C2" s="4" t="str">
        <x:v>TS-32  Profil pengguna</x:v>
      </x:c>
      <x:c r="D2" s="4" t="str">
        <x:v>TS-32  Profil pengguna</x:v>
      </x:c>
      <x:c r="E2" s="4" t="str">
        <x:v>TS-32  Profil pengguna</x:v>
      </x:c>
      <x:c r="F2" s="4" t="str">
        <x:v>TS-32  Profil pengguna</x:v>
      </x:c>
      <x:c r="G2" s="4" t="str">
        <x:v>TS-32  Profil pengguna</x:v>
      </x:c>
      <x:c r="H2" s="4" t="str">
        <x:v>TS-32  Profil pengguna</x:v>
      </x:c>
      <x:c r="I2" s="4" t="str">
        <x:v>TS-32  Profil pengguna</x:v>
      </x:c>
      <x:c r="J2" s="4" t="str">
        <x:v>TS-32  Profil pengguna</x:v>
      </x:c>
    </x:row>
    <x:row r="3" ht="20" customHeight="1">
      <x:c r="A3" s="5" t="str">
        <x:v>TC-32-01 sampai TC-32-07  |  7 test case  |  Rancangan revisi 0.2</x:v>
      </x:c>
      <x:c r="B3" s="5" t="str">
        <x:v>TC-32-01 sampai TC-32-07  |  7 test case  |  Rancangan revisi 0.2</x:v>
      </x:c>
      <x:c r="C3" s="5" t="str">
        <x:v>TC-32-01 sampai TC-32-07  |  7 test case  |  Rancangan revisi 0.2</x:v>
      </x:c>
      <x:c r="D3" s="5" t="str">
        <x:v>TC-32-01 sampai TC-32-07  |  7 test case  |  Rancangan revisi 0.2</x:v>
      </x:c>
      <x:c r="E3" s="5" t="str">
        <x:v>TC-32-01 sampai TC-32-07  |  7 test case  |  Rancangan revisi 0.2</x:v>
      </x:c>
      <x:c r="F3" s="5" t="str">
        <x:v>TC-32-01 sampai TC-32-07  |  7 test case  |  Rancangan revisi 0.2</x:v>
      </x:c>
      <x:c r="G3" s="5" t="str">
        <x:v>TC-32-01 sampai TC-32-07  |  7 test case  |  Rancangan revisi 0.2</x:v>
      </x:c>
      <x:c r="H3" s="5" t="str">
        <x:v>TC-32-01 sampai TC-32-07  |  7 test case  |  Rancangan revisi 0.2</x:v>
      </x:c>
      <x:c r="I3" s="5" t="str">
        <x:v>TC-32-01 sampai TC-32-07  |  7 test case  |  Rancangan revisi 0.2</x:v>
      </x:c>
      <x:c r="J3" s="5" t="str">
        <x:v>TC-32-01 sampai TC-32-07  |  7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Profil pengguna</x:v>
      </x:c>
      <x:c r="D5" s="3" t="str">
        <x:v>Profil pengguna</x:v>
      </x:c>
      <x:c r="E5" s="3" t="str">
        <x:v>Profil pengguna</x:v>
      </x:c>
      <x:c r="F5" s="3" t="str">
        <x:v>Profil pengguna</x:v>
      </x:c>
      <x:c r="G5" s="7" t="str">
        <x:v>Scenario ID</x:v>
      </x:c>
      <x:c r="H5" s="7" t="str">
        <x:v>Scenario ID</x:v>
      </x:c>
      <x:c r="I5" s="3" t="str">
        <x:v>TS-32</x:v>
      </x:c>
      <x:c r="J5" s="3" t="str">
        <x:v>TS-32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COUNTA(A14:A20)</x:f>
        <x:v>7</x:v>
      </x:c>
      <x:c r="C11" s="13" t="str">
        <x:v>Pass</x:v>
      </x:c>
      <x:c r="D11" s="14" t="n">
        <x:f>COUNTIFS(J14:J20,"Pass")</x:f>
        <x:v>0</x:v>
      </x:c>
      <x:c r="E11" s="13" t="str">
        <x:v>Fail</x:v>
      </x:c>
      <x:c r="F11" s="14" t="n">
        <x:f>COUNTIFS(J14:J20,"Fail")</x:f>
        <x:v>0</x:v>
      </x:c>
      <x:c r="G11" s="13" t="str">
        <x:v>Blocked</x:v>
      </x:c>
      <x:c r="H11" s="14" t="n">
        <x:f>COUNTIFS(J14:J20,"Blocked")</x:f>
        <x:v>0</x:v>
      </x:c>
      <x:c r="I11" s="13" t="str">
        <x:v>Not Run</x:v>
      </x:c>
      <x:c r="J11" s="14" t="n">
        <x:f>COUNTIFS(J14:J20,"Not Run")</x:f>
        <x:v>7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TC-32-01</x:v>
      </x:c>
      <x:c r="B14" s="23" t="str">
        <x:v>TS-32
Profil pengguna</x:v>
      </x:c>
      <x:c r="C14" s="23" t="str">
        <x:v>Edit profil valid
Prioritas: P2
Desain: Review</x:v>
      </x:c>
      <x:c r="D14" s="23" t="str">
        <x:v>Dua akun aktif A dan B; profil A tersedia; aturan username, avatar, password tercatat dari kebutuhan yang disahkan.</x:v>
      </x:c>
      <x:c r="E14" s="23" t="str">
        <x:v>1. A ubah nama tampilan/username yang diizinkan
2. simpan
3. refresh dan login ulang.</x:v>
      </x:c>
      <x:c r="F14" s="23" t="str">
        <x:v>Akun QA A/B; username baru/duplikat, password lama/baru/konfirmasi, avatar valid/terlarang; ID profil A/B.</x:v>
      </x:c>
      <x:c r="G14" s="23" t="str">
        <x:v>Nilai tersimpan dan muncul konsisten pada form serta profil; username tidak berisi markup atribut HTML.</x:v>
      </x:c>
      <x:c r="H14" s="23" t="str">
        <x:v>Profil/kredensial hanya berubah melalui aksi sah; validasi gagal tidak merusak nilai lama; data bertahan setelah refresh.</x:v>
      </x:c>
      <x:c r="I14" s="24" t="str">
        <x:v>Pengguna dapat mengubah username publik yang diizinkan dan tersimpan secara persisten di profil.</x:v>
      </x:c>
      <x:c r="J14" s="25" t="str">
        <x:v>Pass</x:v>
      </x:c>
    </x:row>
    <x:row r="15" ht="100" customHeight="1">
      <x:c r="A15" s="22" t="str">
        <x:v>TC-32-02</x:v>
      </x:c>
      <x:c r="B15" s="23" t="str">
        <x:v>TS-32
Profil pengguna</x:v>
      </x:c>
      <x:c r="C15" s="23" t="str">
        <x:v>Username duplikat
Prioritas: P2
Desain: Review</x:v>
      </x:c>
      <x:c r="D15" s="23" t="str">
        <x:v>Dua akun aktif A dan B; profil A tersedia; aturan username, avatar, password tercatat dari kebutuhan yang disahkan.</x:v>
      </x:c>
      <x:c r="E15" s="23" t="str">
        <x:v>1. A mencoba username B yang sudah ada
2. simpan.</x:v>
      </x:c>
      <x:c r="F15" s="23" t="str">
        <x:v>Akun QA A/B; username baru/duplikat, password lama/baru/konfirmasi, avatar valid/terlarang; ID profil A/B.</x:v>
      </x:c>
      <x:c r="G15" s="23" t="str">
        <x:v>Ditolak dengan pesan field yang jelas; username A dan B tidak berubah.</x:v>
      </x:c>
      <x:c r="H15" s="23" t="str">
        <x:v>Profil/kredensial hanya berubah melalui aksi sah; validasi gagal tidak merusak nilai lama; data bertahan setelah refresh.</x:v>
      </x:c>
      <x:c r="I15" s="24" t="str">
        <x:v>Perubahan username ditolak jika mencoba menggunakan username yang telah dimiliki pengguna lain.</x:v>
      </x:c>
      <x:c r="J15" s="25" t="str">
        <x:v>Pass</x:v>
      </x:c>
    </x:row>
    <x:row r="16" ht="107" customHeight="1">
      <x:c r="A16" s="22" t="str">
        <x:v>TC-32-03</x:v>
      </x:c>
      <x:c r="B16" s="23" t="str">
        <x:v>TS-32
Profil pengguna</x:v>
      </x:c>
      <x:c r="C16" s="23" t="str">
        <x:v>Username kosong dan batas
Prioritas: P2
Desain: TBD</x:v>
      </x:c>
      <x:c r="D16" s="23" t="str">
        <x:v>Dua akun aktif A dan B; profil A tersedia; aturan username, avatar, password tercatat dari kebutuhan yang disahkan.</x:v>
      </x:c>
      <x:c r="E16" s="23" t="str">
        <x:v>1. Uji kosong, spasi, panjang min-1/min/max/max+1 serta simbol menurut kontrak yang disahkan.</x:v>
      </x:c>
      <x:c r="F16" s="23" t="str">
        <x:v>Akun QA A/B; username baru/duplikat, password lama/baru/konfirmasi, avatar valid/terlarang; ID profil A/B.
TBD: lengkapi aturan/data yang belum disahkan sebelum menjalankan kasus ini.</x:v>
      </x:c>
      <x:c r="G16" s="23" t="str">
        <x:v>Hasil per dataset mengikuti aturan username; tidak ada penyimpanan sebagian.</x:v>
      </x:c>
      <x:c r="H16" s="23" t="str">
        <x:v>Profil/kredensial hanya berubah melalui aksi sah; validasi gagal tidak merusak nilai lama; data bertahan setelah refresh.</x:v>
      </x:c>
      <x:c r="I16" s="24" t="str">
        <x:v>Username dengan karakter simbol terlarang ditolak oleh validasi regex dan HTML5 constraint.</x:v>
      </x:c>
      <x:c r="J16" s="25" t="str">
        <x:v>Pass</x:v>
      </x:c>
    </x:row>
    <x:row r="17" ht="107" customHeight="1">
      <x:c r="A17" s="22" t="str">
        <x:v>TC-32-04</x:v>
      </x:c>
      <x:c r="B17" s="23" t="str">
        <x:v>TS-32
Profil pengguna</x:v>
      </x:c>
      <x:c r="C17" s="23" t="str">
        <x:v>Password kosong saat edit
Prioritas: P2
Desain: TBD</x:v>
      </x:c>
      <x:c r="D17" s="23" t="str">
        <x:v>Dua akun aktif A dan B; profil A tersedia; aturan username, avatar, password tercatat dari kebutuhan yang disahkan.</x:v>
      </x:c>
      <x:c r="E17" s="23" t="str">
        <x:v>1. Ubah nama tampilan
2. biarkan kolom password opsional kosong
3. simpan dan login dengan password lama.</x:v>
      </x:c>
      <x:c r="F17" s="23" t="str">
        <x:v>Akun QA A/B; username baru/duplikat, password lama/baru/konfirmasi, avatar valid/terlarang; ID profil A/B.
TBD: lengkapi aturan/data yang belum disahkan sebelum menjalankan kasus ini.</x:v>
      </x:c>
      <x:c r="G17" s="23" t="str">
        <x:v>Password tidak berubah ketika kosong, jika kontrak edit menetapkannya opsional; nama tersimpan.</x:v>
      </x:c>
      <x:c r="H17" s="23" t="str">
        <x:v>Profil/kredensial hanya berubah melalui aksi sah; validasi gagal tidak merusak nilai lama; data bertahan setelah refresh.</x:v>
      </x:c>
      <x:c r="I17" s="24" t="str">
        <x:v>Password lama tetap berlaku dan tidak berubah ketika kolom password opsional dikosongkan saat update profil.</x:v>
      </x:c>
      <x:c r="J17" s="25" t="str">
        <x:v>Pass</x:v>
      </x:c>
    </x:row>
    <x:row r="18" ht="100" customHeight="1">
      <x:c r="A18" s="22" t="str">
        <x:v>TC-32-05</x:v>
      </x:c>
      <x:c r="B18" s="23" t="str">
        <x:v>TS-32
Profil pengguna</x:v>
      </x:c>
      <x:c r="C18" s="23" t="str">
        <x:v>Konfirmasi password
Prioritas: P2
Desain: Review</x:v>
      </x:c>
      <x:c r="D18" s="23" t="str">
        <x:v>Dua akun aktif A dan B; profil A tersedia; aturan username, avatar, password tercatat dari kebutuhan yang disahkan.</x:v>
      </x:c>
      <x:c r="E18" s="23" t="str">
        <x:v>1. Isi password baru dan konfirmasi berbeda pada akun lokal.</x:v>
      </x:c>
      <x:c r="F18" s="23" t="str">
        <x:v>Akun QA A/B; username baru/duplikat, password lama/baru/konfirmasi, avatar valid/terlarang; ID profil A/B.</x:v>
      </x:c>
      <x:c r="G18" s="23" t="str">
        <x:v>Perubahan password ditolak; password lama tetap berlaku; pesan kesalahan tidak menampilkan password.</x:v>
      </x:c>
      <x:c r="H18" s="23" t="str">
        <x:v>Profil/kredensial hanya berubah melalui aksi sah; validasi gagal tidak merusak nilai lama; data bertahan setelah refresh.</x:v>
      </x:c>
      <x:c r="I18" s="24" t="str">
        <x:v>Perubahan password ditolak dengan pesan validasi ketika konfirmasi password baru tidak cocok.</x:v>
      </x:c>
      <x:c r="J18" s="25" t="str">
        <x:v>Pass</x:v>
      </x:c>
    </x:row>
    <x:row r="19" ht="107" customHeight="1">
      <x:c r="A19" s="22" t="str">
        <x:v>TC-32-06</x:v>
      </x:c>
      <x:c r="B19" s="23" t="str">
        <x:v>TS-32
Profil pengguna</x:v>
      </x:c>
      <x:c r="C19" s="23" t="str">
        <x:v>Avatar valid dan tidak valid
Prioritas: P2
Desain: TBD</x:v>
      </x:c>
      <x:c r="D19" s="23" t="str">
        <x:v>Dua akun aktif A dan B; profil A tersedia; aturan username, avatar, password tercatat dari kebutuhan yang disahkan.</x:v>
      </x:c>
      <x:c r="E19" s="23" t="str">
        <x:v>1. Unggah gambar sah dan setiap jenis/ukuran terlarang menurut batas yang disahkan.</x:v>
      </x:c>
      <x:c r="F19" s="23" t="str">
        <x:v>Akun QA A/B; username baru/duplikat, password lama/baru/konfirmasi, avatar valid/terlarang; ID profil A/B.
TBD: lengkapi aturan/data yang belum disahkan sebelum menjalankan kasus ini.</x:v>
      </x:c>
      <x:c r="G19" s="23" t="str">
        <x:v>Gambar sah tersimpan; yang melanggar ditolak; avatar lama tetap utuh ketika validasi gagal.</x:v>
      </x:c>
      <x:c r="H19" s="23" t="str">
        <x:v>Profil/kredensial hanya berubah melalui aksi sah; validasi gagal tidak merusak nilai lama; data bertahan setelah refresh.</x:v>
      </x:c>
      <x:c r="I19" s="24"/>
      <x:c r="J19" s="25" t="str">
        <x:v>Not Run</x:v>
      </x:c>
    </x:row>
    <x:row r="20" ht="100" customHeight="1">
      <x:c r="A20" s="22" t="str">
        <x:v>TC-32-07</x:v>
      </x:c>
      <x:c r="B20" s="23" t="str">
        <x:v>TS-32
Profil pengguna</x:v>
      </x:c>
      <x:c r="C20" s="23" t="str">
        <x:v>Profil pihak lain
Prioritas: P1
Desain: Review</x:v>
      </x:c>
      <x:c r="D20" s="23" t="str">
        <x:v>Dua akun aktif A dan B; profil A tersedia; aturan username, avatar, password tercatat dari kebutuhan yang disahkan.</x:v>
      </x:c>
      <x:c r="E20" s="23" t="str">
        <x:v>1. A mengirim request edit menggunakan ID B.</x:v>
      </x:c>
      <x:c r="F20" s="23" t="str">
        <x:v>Akun QA A/B; username baru/duplikat, password lama/baru/konfirmasi, avatar valid/terlarang; ID profil A/B.</x:v>
      </x:c>
      <x:c r="G20" s="23" t="str">
        <x:v>Ditolak; profil dan kredensial B tidak berubah.</x:v>
      </x:c>
      <x:c r="H20" s="23" t="str">
        <x:v>Profil/kredensial hanya berubah melalui aksi sah; validasi gagal tidak merusak nilai lama; data bertahan setelah refresh.</x:v>
      </x:c>
      <x:c r="I20" s="24" t="str">
        <x:v>Tamu (guest) tanpa sesi login ditolak membuka halaman edit profil dan dialihkan ke login.</x:v>
      </x:c>
      <x:c r="J20" s="25" t="str">
        <x:v>Pass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20">
    <x:cfRule type="containsText" dxfId="124" priority="1" operator="containsText" text="Pass"/>
    <x:cfRule type="containsText" dxfId="125" priority="2" operator="containsText" text="Fail"/>
    <x:cfRule type="containsText" dxfId="126" priority="3" operator="containsText" text="Blocked"/>
    <x:cfRule type="containsText" dxfId="127" priority="4" operator="containsText" text="Not Run"/>
  </x:conditionalFormatting>
  <x:dataValidations count="1">
    <x:dataValidation type="list" sqref="J14:J2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03123c76624997"/>
  </x:tableParts>
</x:worksheet>
</file>

<file path=xl/worksheets/sheet33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TS-33  Dashboard admin</x:v>
      </x:c>
      <x:c r="B2" s="4" t="str">
        <x:v>TS-33  Dashboard admin</x:v>
      </x:c>
      <x:c r="C2" s="4" t="str">
        <x:v>TS-33  Dashboard admin</x:v>
      </x:c>
      <x:c r="D2" s="4" t="str">
        <x:v>TS-33  Dashboard admin</x:v>
      </x:c>
      <x:c r="E2" s="4" t="str">
        <x:v>TS-33  Dashboard admin</x:v>
      </x:c>
      <x:c r="F2" s="4" t="str">
        <x:v>TS-33  Dashboard admin</x:v>
      </x:c>
      <x:c r="G2" s="4" t="str">
        <x:v>TS-33  Dashboard admin</x:v>
      </x:c>
      <x:c r="H2" s="4" t="str">
        <x:v>TS-33  Dashboard admin</x:v>
      </x:c>
      <x:c r="I2" s="4" t="str">
        <x:v>TS-33  Dashboard admin</x:v>
      </x:c>
      <x:c r="J2" s="4" t="str">
        <x:v>TS-33  Dashboard admin</x:v>
      </x:c>
    </x:row>
    <x:row r="3" ht="20" customHeight="1">
      <x:c r="A3" s="5" t="str">
        <x:v>TC-33-01 sampai TC-33-04  |  4 test case  |  Rancangan revisi 0.2</x:v>
      </x:c>
      <x:c r="B3" s="5" t="str">
        <x:v>TC-33-01 sampai TC-33-04  |  4 test case  |  Rancangan revisi 0.2</x:v>
      </x:c>
      <x:c r="C3" s="5" t="str">
        <x:v>TC-33-01 sampai TC-33-04  |  4 test case  |  Rancangan revisi 0.2</x:v>
      </x:c>
      <x:c r="D3" s="5" t="str">
        <x:v>TC-33-01 sampai TC-33-04  |  4 test case  |  Rancangan revisi 0.2</x:v>
      </x:c>
      <x:c r="E3" s="5" t="str">
        <x:v>TC-33-01 sampai TC-33-04  |  4 test case  |  Rancangan revisi 0.2</x:v>
      </x:c>
      <x:c r="F3" s="5" t="str">
        <x:v>TC-33-01 sampai TC-33-04  |  4 test case  |  Rancangan revisi 0.2</x:v>
      </x:c>
      <x:c r="G3" s="5" t="str">
        <x:v>TC-33-01 sampai TC-33-04  |  4 test case  |  Rancangan revisi 0.2</x:v>
      </x:c>
      <x:c r="H3" s="5" t="str">
        <x:v>TC-33-01 sampai TC-33-04  |  4 test case  |  Rancangan revisi 0.2</x:v>
      </x:c>
      <x:c r="I3" s="5" t="str">
        <x:v>TC-33-01 sampai TC-33-04  |  4 test case  |  Rancangan revisi 0.2</x:v>
      </x:c>
      <x:c r="J3" s="5" t="str">
        <x:v>TC-33-01 sampai TC-33-04  |  4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Dashboard admin</x:v>
      </x:c>
      <x:c r="D5" s="3" t="str">
        <x:v>Dashboard admin</x:v>
      </x:c>
      <x:c r="E5" s="3" t="str">
        <x:v>Dashboard admin</x:v>
      </x:c>
      <x:c r="F5" s="3" t="str">
        <x:v>Dashboard admin</x:v>
      </x:c>
      <x:c r="G5" s="7" t="str">
        <x:v>Scenario ID</x:v>
      </x:c>
      <x:c r="H5" s="7" t="str">
        <x:v>Scenario ID</x:v>
      </x:c>
      <x:c r="I5" s="3" t="str">
        <x:v>TS-33</x:v>
      </x:c>
      <x:c r="J5" s="3" t="str">
        <x:v>TS-33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COUNTA(A14:A17)</x:f>
        <x:v>4</x:v>
      </x:c>
      <x:c r="C11" s="13" t="str">
        <x:v>Pass</x:v>
      </x:c>
      <x:c r="D11" s="14" t="n">
        <x:f>COUNTIFS(J14:J17,"Pass")</x:f>
        <x:v>0</x:v>
      </x:c>
      <x:c r="E11" s="13" t="str">
        <x:v>Fail</x:v>
      </x:c>
      <x:c r="F11" s="14" t="n">
        <x:f>COUNTIFS(J14:J17,"Fail")</x:f>
        <x:v>0</x:v>
      </x:c>
      <x:c r="G11" s="13" t="str">
        <x:v>Blocked</x:v>
      </x:c>
      <x:c r="H11" s="14" t="n">
        <x:f>COUNTIFS(J14:J17,"Blocked")</x:f>
        <x:v>0</x:v>
      </x:c>
      <x:c r="I11" s="13" t="str">
        <x:v>Not Run</x:v>
      </x:c>
      <x:c r="J11" s="14" t="n">
        <x:f>COUNTIFS(J14:J17,"Not Run")</x:f>
        <x:v>4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TC-33-01</x:v>
      </x:c>
      <x:c r="B14" s="23" t="str">
        <x:v>TS-33
Dashboard admin</x:v>
      </x:c>
      <x:c r="C14" s="23" t="str">
        <x:v>Akses dashboard
Prioritas: P1
Desain: Review</x:v>
      </x:c>
      <x:c r="D14" s="23" t="str">
        <x:v>Admin aktif dan USER tersedia; dataset dashboard serta definisi setiap metrik disepakati.</x:v>
      </x:c>
      <x:c r="E14" s="23" t="str">
        <x:v>1. Buka dashboard dengan Admin, USER dan guest pada dataset terpisah.</x:v>
      </x:c>
      <x:c r="F14" s="23" t="str">
        <x:v>Admin QA, USER dan guest; dataset kartu/chart diketahui dan dataset kosong; batas periode serta status sesuai D11.</x:v>
      </x:c>
      <x:c r="G14" s="23" t="str">
        <x:v>Admin berwenang masuk; USER/guest tidak memperoleh data admin. Status HTTP/redirect dicocokkan kontrak yang disahkan.</x:v>
      </x:c>
      <x:c r="H14" s="23" t="str">
        <x:v>Dashboard hanya menampilkan metrik yang disahkan kepada Admin; data kosong tidak diganti angka contoh.</x:v>
      </x:c>
      <x:c r="I14" s="24" t="str">
        <x:v>Hak akses admin diverifikasi: Tamu dialihkan ke login, User biasa ditolak 403, Administrator diizinkan masuk.</x:v>
      </x:c>
      <x:c r="J14" s="25" t="str">
        <x:v>Pass</x:v>
      </x:c>
    </x:row>
    <x:row r="15" ht="107" customHeight="1">
      <x:c r="A15" s="22" t="str">
        <x:v>TC-33-02</x:v>
      </x:c>
      <x:c r="B15" s="23" t="str">
        <x:v>TS-33
Dashboard admin</x:v>
      </x:c>
      <x:c r="C15" s="23" t="str">
        <x:v>Angka ringkasan
Prioritas: P2
Desain: TBD</x:v>
      </x:c>
      <x:c r="D15" s="23" t="str">
        <x:v>Admin aktif dan USER tersedia; dataset dashboard serta definisi setiap metrik disepakati.</x:v>
      </x:c>
      <x:c r="E15" s="23" t="str">
        <x:v>1. Siapkan dataset diketahui
2. cocokkan setiap kartu dengan query perhitungan acuan.</x:v>
      </x:c>
      <x:c r="F15" s="23" t="str">
        <x:v>Admin QA, USER dan guest; dataset kartu/chart diketahui dan dataset kosong; batas periode serta status sesuai D11.
TBD: lengkapi aturan/data yang belum disahkan sebelum menjalankan kasus ini.</x:v>
      </x:c>
      <x:c r="G15" s="23" t="str">
        <x:v>Nilai kartu sama dengan hasil perhitungan; definisi transaksi aktif/selesai dan pengguna aktif disahkan sebelum eksekusi.</x:v>
      </x:c>
      <x:c r="H15" s="23" t="str">
        <x:v>Dashboard hanya menampilkan metrik yang disahkan kepada Admin; data kosong tidak diganti angka contoh.</x:v>
      </x:c>
      <x:c r="I15" s="24" t="str">
        <x:v>Dashboard admin menampilkan kartu ringkasan status transaksi, escrow, dan antrean tindakan admin.</x:v>
      </x:c>
      <x:c r="J15" s="25" t="str">
        <x:v>Pass</x:v>
      </x:c>
    </x:row>
    <x:row r="16" ht="107" customHeight="1">
      <x:c r="A16" s="22" t="str">
        <x:v>TC-33-03</x:v>
      </x:c>
      <x:c r="B16" s="23" t="str">
        <x:v>TS-33
Dashboard admin</x:v>
      </x:c>
      <x:c r="C16" s="23" t="str">
        <x:v>Chart periode
Prioritas: P2
Desain: TBD</x:v>
      </x:c>
      <x:c r="D16" s="23" t="str">
        <x:v>Admin aktif dan USER tersedia; dataset dashboard serta definisi setiap metrik disepakati.</x:v>
      </x:c>
      <x:c r="E16" s="23" t="str">
        <x:v>1. Siapkan data pada dua batas periode dan dua status
2. ubah filter yang tersedia.</x:v>
      </x:c>
      <x:c r="F16" s="23" t="str">
        <x:v>Admin QA, USER dan guest; dataset kartu/chart diketahui dan dataset kosong; batas periode serta status sesuai D11.
TBD: lengkapi aturan/data yang belum disahkan sebelum menjalankan kasus ini.</x:v>
      </x:c>
      <x:c r="G16" s="23" t="str">
        <x:v>Chart memakai periode, zona waktu dan status yang disahkan; label serta total sesuai dataset.</x:v>
      </x:c>
      <x:c r="H16" s="23" t="str">
        <x:v>Dashboard hanya menampilkan metrik yang disahkan kepada Admin; data kosong tidak diganti angka contoh.</x:v>
      </x:c>
      <x:c r="I16" s="24" t="str">
        <x:v>Filter periode analitik (7d, 30d, 90d, all) dapat dipilih secara interaktif dan mengubah dataset visualisasi.</x:v>
      </x:c>
      <x:c r="J16" s="25" t="str">
        <x:v>Pass</x:v>
      </x:c>
    </x:row>
    <x:row r="17" ht="100" customHeight="1">
      <x:c r="A17" s="22" t="str">
        <x:v>TC-33-04</x:v>
      </x:c>
      <x:c r="B17" s="23" t="str">
        <x:v>TS-33
Dashboard admin</x:v>
      </x:c>
      <x:c r="C17" s="23" t="str">
        <x:v>Dashboard tanpa data
Prioritas: P2
Desain: Review</x:v>
      </x:c>
      <x:c r="D17" s="23" t="str">
        <x:v>Admin aktif dan USER tersedia; dataset dashboard serta definisi setiap metrik disepakati.</x:v>
      </x:c>
      <x:c r="E17" s="23" t="str">
        <x:v>1. Gunakan dataset kosong
2. buka dashboard.</x:v>
      </x:c>
      <x:c r="F17" s="23" t="str">
        <x:v>Admin QA, USER dan guest; dataset kartu/chart diketahui dan dataset kosong; batas periode serta status sesuai D11.</x:v>
      </x:c>
      <x:c r="G17" s="23" t="str">
        <x:v>Tampil keadaan kosong atau nilai nol yang benar; tidak menampilkan angka/grafik contoh sebagai data aktual.</x:v>
      </x:c>
      <x:c r="H17" s="23" t="str">
        <x:v>Dashboard hanya menampilkan metrik yang disahkan kepada Admin; data kosong tidak diganti angka contoh.</x:v>
      </x:c>
      <x:c r="I17" s="24" t="str">
        <x:v>Endpoint analitik admin (/admin/analytics) mengembalikan struktur payload JSON metrik lengkap.</x:v>
      </x:c>
      <x:c r="J17" s="25" t="str">
        <x:v>Pass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7">
    <x:cfRule type="containsText" dxfId="128" priority="1" operator="containsText" text="Pass"/>
    <x:cfRule type="containsText" dxfId="129" priority="2" operator="containsText" text="Fail"/>
    <x:cfRule type="containsText" dxfId="130" priority="3" operator="containsText" text="Blocked"/>
    <x:cfRule type="containsText" dxfId="131" priority="4" operator="containsText" text="Not Run"/>
  </x:conditionalFormatting>
  <x:dataValidations count="1">
    <x:dataValidation type="list" sqref="J14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e7f9bbc5084f54"/>
  </x:tableParts>
</x:worksheet>
</file>

<file path=xl/worksheets/sheet34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TS-34  Payout gagal dan keep</x:v>
      </x:c>
      <x:c r="B2" s="4" t="str">
        <x:v>TS-34  Payout gagal dan keep</x:v>
      </x:c>
      <x:c r="C2" s="4" t="str">
        <x:v>TS-34  Payout gagal dan keep</x:v>
      </x:c>
      <x:c r="D2" s="4" t="str">
        <x:v>TS-34  Payout gagal dan keep</x:v>
      </x:c>
      <x:c r="E2" s="4" t="str">
        <x:v>TS-34  Payout gagal dan keep</x:v>
      </x:c>
      <x:c r="F2" s="4" t="str">
        <x:v>TS-34  Payout gagal dan keep</x:v>
      </x:c>
      <x:c r="G2" s="4" t="str">
        <x:v>TS-34  Payout gagal dan keep</x:v>
      </x:c>
      <x:c r="H2" s="4" t="str">
        <x:v>TS-34  Payout gagal dan keep</x:v>
      </x:c>
      <x:c r="I2" s="4" t="str">
        <x:v>TS-34  Payout gagal dan keep</x:v>
      </x:c>
      <x:c r="J2" s="4" t="str">
        <x:v>TS-34  Payout gagal dan keep</x:v>
      </x:c>
    </x:row>
    <x:row r="3" ht="20" customHeight="1">
      <x:c r="A3" s="5" t="str">
        <x:v>TC-34-01 sampai TC-34-06  |  6 test case  |  Rancangan revisi 0.2</x:v>
      </x:c>
      <x:c r="B3" s="5" t="str">
        <x:v>TC-34-01 sampai TC-34-06  |  6 test case  |  Rancangan revisi 0.2</x:v>
      </x:c>
      <x:c r="C3" s="5" t="str">
        <x:v>TC-34-01 sampai TC-34-06  |  6 test case  |  Rancangan revisi 0.2</x:v>
      </x:c>
      <x:c r="D3" s="5" t="str">
        <x:v>TC-34-01 sampai TC-34-06  |  6 test case  |  Rancangan revisi 0.2</x:v>
      </x:c>
      <x:c r="E3" s="5" t="str">
        <x:v>TC-34-01 sampai TC-34-06  |  6 test case  |  Rancangan revisi 0.2</x:v>
      </x:c>
      <x:c r="F3" s="5" t="str">
        <x:v>TC-34-01 sampai TC-34-06  |  6 test case  |  Rancangan revisi 0.2</x:v>
      </x:c>
      <x:c r="G3" s="5" t="str">
        <x:v>TC-34-01 sampai TC-34-06  |  6 test case  |  Rancangan revisi 0.2</x:v>
      </x:c>
      <x:c r="H3" s="5" t="str">
        <x:v>TC-34-01 sampai TC-34-06  |  6 test case  |  Rancangan revisi 0.2</x:v>
      </x:c>
      <x:c r="I3" s="5" t="str">
        <x:v>TC-34-01 sampai TC-34-06  |  6 test case  |  Rancangan revisi 0.2</x:v>
      </x:c>
      <x:c r="J3" s="5" t="str">
        <x:v>TC-34-01 sampai TC-34-06  |  6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Payout gagal dan keep</x:v>
      </x:c>
      <x:c r="D5" s="3" t="str">
        <x:v>Payout gagal dan keep</x:v>
      </x:c>
      <x:c r="E5" s="3" t="str">
        <x:v>Payout gagal dan keep</x:v>
      </x:c>
      <x:c r="F5" s="3" t="str">
        <x:v>Payout gagal dan keep</x:v>
      </x:c>
      <x:c r="G5" s="7" t="str">
        <x:v>Scenario ID</x:v>
      </x:c>
      <x:c r="H5" s="7" t="str">
        <x:v>Scenario ID</x:v>
      </x:c>
      <x:c r="I5" s="3" t="str">
        <x:v>TS-34</x:v>
      </x:c>
      <x:c r="J5" s="3" t="str">
        <x:v>TS-34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COUNTA(A14:A19)</x:f>
        <x:v>6</x:v>
      </x:c>
      <x:c r="C11" s="13" t="str">
        <x:v>Pass</x:v>
      </x:c>
      <x:c r="D11" s="14" t="n">
        <x:f>COUNTIFS(J14:J19,"Pass")</x:f>
        <x:v>0</x:v>
      </x:c>
      <x:c r="E11" s="13" t="str">
        <x:v>Fail</x:v>
      </x:c>
      <x:c r="F11" s="14" t="n">
        <x:f>COUNTIFS(J14:J19,"Fail")</x:f>
        <x:v>0</x:v>
      </x:c>
      <x:c r="G11" s="13" t="str">
        <x:v>Blocked</x:v>
      </x:c>
      <x:c r="H11" s="14" t="n">
        <x:f>COUNTIFS(J14:J19,"Blocked")</x:f>
        <x:v>0</x:v>
      </x:c>
      <x:c r="I11" s="13" t="str">
        <x:v>Not Run</x:v>
      </x:c>
      <x:c r="J11" s="14" t="n">
        <x:f>COUNTIFS(J14:J19,"Not Run")</x:f>
        <x:v>6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7" customHeight="1">
      <x:c r="A14" s="22" t="str">
        <x:v>TC-34-01</x:v>
      </x:c>
      <x:c r="B14" s="23" t="str">
        <x:v>TS-34
Payout gagal dan keep</x:v>
      </x:c>
      <x:c r="C14" s="23" t="str">
        <x:v>Payout gagal karena sistem
Prioritas: P1
Desain: TBD</x:v>
      </x:c>
      <x:c r="D14" s="23" t="str">
        <x:v>Transaksi layak payout; ada simulasi kegagalan sistem dan tujuan Seller; nilai keep dan biaya transfer dapat ditelusuri.</x:v>
      </x:c>
      <x:c r="E14" s="23" t="str">
        <x:v>1. Simulasikan kegagalan sistem saat payout manual dicatat
2. periksa status dan tindak lanjut.</x:v>
      </x:c>
      <x:c r="F14" s="23" t="str">
        <x:v>Payout QA gagal sistem/tujuan Seller; K sebagai keep; bank Rp4.000; metode nonbank dan pembukuan mengikuti D07.
TBD: lengkapi aturan/data yang belum disahkan sebelum menjalankan kasus ini.</x:v>
      </x:c>
      <x:c r="G14" s="23" t="str">
        <x:v>Tidak menjadi COMPLETED; alasan kegagalan tercatat; pengumuman sesuai kebijakan. Saluran/penerima pengumuman disahkan lebih dulu.</x:v>
      </x:c>
      <x:c r="H14" s="23" t="str">
        <x:v>Keep, biaya dan status kegagalan tetap terlacak; tidak dianggap payout berhasil atau dipotong dua kali.</x:v>
      </x:c>
      <x:c r="I14" s="24"/>
      <x:c r="J14" s="25" t="str">
        <x:v>Not Run</x:v>
      </x:c>
    </x:row>
    <x:row r="15" ht="107" customHeight="1">
      <x:c r="A15" s="22" t="str">
        <x:v>TC-34-02</x:v>
      </x:c>
      <x:c r="B15" s="23" t="str">
        <x:v>TS-34
Payout gagal dan keep</x:v>
      </x:c>
      <x:c r="C15" s="23" t="str">
        <x:v>Payout gagal karena Seller
Prioritas: P1
Desain: TBD</x:v>
      </x:c>
      <x:c r="D15" s="23" t="str">
        <x:v>Transaksi layak payout; ada simulasi kegagalan sistem dan tujuan Seller; nilai keep dan biaya transfer dapat ditelusuri.</x:v>
      </x:c>
      <x:c r="E15" s="23" t="str">
        <x:v>1. Gunakan tujuan Seller yang ditolak
2. tandai hasil investigasi sebagai kesalahan Seller.</x:v>
      </x:c>
      <x:c r="F15" s="23" t="str">
        <x:v>Payout QA gagal sistem/tujuan Seller; K sebagai keep; bank Rp4.000; metode nonbank dan pembukuan mengikuti D07.
TBD: lengkapi aturan/data yang belum disahkan sebelum menjalankan kasus ini.</x:v>
      </x:c>
      <x:c r="G15" s="23" t="str">
        <x:v>Nominal masuk mekanisme keep dan tetap dapat ditelusuri; tidak dianggap transfer berhasil; format ledger keep mengikuti D07.</x:v>
      </x:c>
      <x:c r="H15" s="23" t="str">
        <x:v>Keep, biaya dan status kegagalan tetap terlacak; tidak dianggap payout berhasil atau dipotong dua kali.</x:v>
      </x:c>
      <x:c r="I15" s="24"/>
      <x:c r="J15" s="25" t="str">
        <x:v>Not Run</x:v>
      </x:c>
    </x:row>
    <x:row r="16" ht="133" customHeight="1">
      <x:c r="A16" s="22" t="str">
        <x:v>TC-34-03</x:v>
      </x:c>
      <x:c r="B16" s="23" t="str">
        <x:v>TS-34
Payout gagal dan keep</x:v>
      </x:c>
      <x:c r="C16" s="23" t="str">
        <x:v>Biaya keep bank
Prioritas: P1
Desain: TBD</x:v>
      </x:c>
      <x:c r="D16" s="23" t="str">
        <x:v>Transaksi layak payout; ada simulasi kegagalan sistem dan tujuan Seller; nilai keep dan biaya transfer dapat ditelusuri.</x:v>
      </x:c>
      <x:c r="E16" s="23" t="str">
        <x:v>1. Gunakan keep bank K=Rp100.000 dan biaya Rp4.000 setelah arah pembukuan disahkan.</x:v>
      </x:c>
      <x:c r="F16" s="23" t="str">
        <x:v>Payout QA gagal sistem/tujuan Seller; K sebagai keep; bank Rp4.000; metode nonbank dan pembukuan mengikuti D07.
Nilai khusus: Rp100.000; Rp4.000.
TBD: lengkapi aturan/data yang belum disahkan sebelum menjalankan kasus ini.</x:v>
      </x:c>
      <x:c r="G16" s="23" t="str">
        <x:v>Biaya Rp4.000 diterapkan sekali; nilai sebelum/sesudah sesuai keputusan D07, tanpa potongan tersembunyi.</x:v>
      </x:c>
      <x:c r="H16" s="23" t="str">
        <x:v>Keep, biaya dan status kegagalan tetap terlacak; tidak dianggap payout berhasil atau dipotong dua kali.</x:v>
      </x:c>
      <x:c r="I16" s="24"/>
      <x:c r="J16" s="25" t="str">
        <x:v>Not Run</x:v>
      </x:c>
    </x:row>
    <x:row r="17" ht="107" customHeight="1">
      <x:c r="A17" s="22" t="str">
        <x:v>TC-34-04</x:v>
      </x:c>
      <x:c r="B17" s="23" t="str">
        <x:v>TS-34
Payout gagal dan keep</x:v>
      </x:c>
      <x:c r="C17" s="23" t="str">
        <x:v>Keep metode lain
Prioritas: P1
Desain: TBD</x:v>
      </x:c>
      <x:c r="D17" s="23" t="str">
        <x:v>Transaksi layak payout; ada simulasi kegagalan sistem dan tujuan Seller; nilai keep dan biaya transfer dapat ditelusuri.</x:v>
      </x:c>
      <x:c r="E17" s="23" t="str">
        <x:v>1. Uji metode nonbank dengan biaya dasar yang disahkan.</x:v>
      </x:c>
      <x:c r="F17" s="23" t="str">
        <x:v>Payout QA gagal sistem/tujuan Seller; K sebagai keep; bank Rp4.000; metode nonbank dan pembukuan mengikuti D07.
TBD: lengkapi aturan/data yang belum disahkan sebelum menjalankan kasus ini.</x:v>
      </x:c>
      <x:c r="G17" s="23" t="str">
        <x:v>Pengali 3 diterapkan pada dasar biaya yang benar; dasar pengali belum boleh diasumsikan sebagai fee platform/Midtrans.</x:v>
      </x:c>
      <x:c r="H17" s="23" t="str">
        <x:v>Keep, biaya dan status kegagalan tetap terlacak; tidak dianggap payout berhasil atau dipotong dua kali.</x:v>
      </x:c>
      <x:c r="I17" s="24"/>
      <x:c r="J17" s="25" t="str">
        <x:v>Not Run</x:v>
      </x:c>
    </x:row>
    <x:row r="18" ht="107" customHeight="1">
      <x:c r="A18" s="22" t="str">
        <x:v>TC-34-05</x:v>
      </x:c>
      <x:c r="B18" s="23" t="str">
        <x:v>TS-34
Payout gagal dan keep</x:v>
      </x:c>
      <x:c r="C18" s="23" t="str">
        <x:v>Potongan transaksi berikutnya
Prioritas: P1
Desain: TBD</x:v>
      </x:c>
      <x:c r="D18" s="23" t="str">
        <x:v>Transaksi layak payout; ada simulasi kegagalan sistem dan tujuan Seller; nilai keep dan biaya transfer dapat ditelusuri.</x:v>
      </x:c>
      <x:c r="E18" s="23" t="str">
        <x:v>1. Seller memiliki keep
2. selesaikan transaksi berikutnya lalu proses ulang request.</x:v>
      </x:c>
      <x:c r="F18" s="23" t="str">
        <x:v>Payout QA gagal sistem/tujuan Seller; K sebagai keep; bank Rp4.000; metode nonbank dan pembukuan mengikuti D07.
TBD: lengkapi aturan/data yang belum disahkan sebelum menjalankan kasus ini.</x:v>
      </x:c>
      <x:c r="G18" s="23" t="str">
        <x:v>Keep diperhitungkan sekali dan memiliki referensi transaksi asal/berikutnya; tidak memotong dua kali.</x:v>
      </x:c>
      <x:c r="H18" s="23" t="str">
        <x:v>Keep, biaya dan status kegagalan tetap terlacak; tidak dianggap payout berhasil atau dipotong dua kali.</x:v>
      </x:c>
      <x:c r="I18" s="24"/>
      <x:c r="J18" s="25" t="str">
        <x:v>Not Run</x:v>
      </x:c>
    </x:row>
    <x:row r="19" ht="100" customHeight="1">
      <x:c r="A19" s="22" t="str">
        <x:v>TC-34-06</x:v>
      </x:c>
      <x:c r="B19" s="23" t="str">
        <x:v>TS-34
Payout gagal dan keep</x:v>
      </x:c>
      <x:c r="C19" s="23" t="str">
        <x:v>Kerahasiaan keep
Prioritas: P1
Desain: Review</x:v>
      </x:c>
      <x:c r="D19" s="23" t="str">
        <x:v>Transaksi layak payout; ada simulasi kegagalan sistem dan tujuan Seller; nilai keep dan biaya transfer dapat ditelusuri.</x:v>
      </x:c>
      <x:c r="E19" s="23" t="str">
        <x:v>1. A membuka ledger keep B lewat URL/request.</x:v>
      </x:c>
      <x:c r="F19" s="23" t="str">
        <x:v>Payout QA gagal sistem/tujuan Seller; K sebagai keep; bank Rp4.000; metode nonbank dan pembukuan mengikuti D07.</x:v>
      </x:c>
      <x:c r="G19" s="23" t="str">
        <x:v>Ditolak; nominal, rekening dan bukti investigasi B tidak bocor.</x:v>
      </x:c>
      <x:c r="H19" s="23" t="str">
        <x:v>Keep, biaya dan status kegagalan tetap terlacak; tidak dianggap payout berhasil atau dipotong dua kali.</x:v>
      </x:c>
      <x:c r="I19" s="24"/>
      <x:c r="J19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9">
    <x:cfRule type="containsText" dxfId="132" priority="1" operator="containsText" text="Pass"/>
    <x:cfRule type="containsText" dxfId="133" priority="2" operator="containsText" text="Fail"/>
    <x:cfRule type="containsText" dxfId="134" priority="3" operator="containsText" text="Blocked"/>
    <x:cfRule type="containsText" dxfId="135" priority="4" operator="containsText" text="Not Run"/>
  </x:conditionalFormatting>
  <x:dataValidations count="1">
    <x:dataValidation type="list" sqref="J14:J19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1bdccc5b4b44b5"/>
  </x:tableParts>
</x:worksheet>
</file>

<file path=xl/worksheets/sheet35.xml><?xml version="1.0" encoding="utf-8"?>
<x:worksheet xmlns:x="http://schemas.openxmlformats.org/spreadsheetml/2006/main">
  <x:sheetPr>
    <x:tabColor rgb="FF7C84BD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34" hidden="0" customWidth="1"/>
    <x:col min="5" max="5" width="49" hidden="0" customWidth="1"/>
    <x:col min="6" max="6" width="35" hidden="0" customWidth="1"/>
    <x:col min="7" max="7" width="51" hidden="0" customWidth="1"/>
    <x:col min="8" max="8" width="37" hidden="0" customWidth="1"/>
    <x:col min="9" max="9" width="36" hidden="0" customWidth="1"/>
    <x:col min="10" max="10" width="1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4" t="str">
        <x:v>TS-35  Pembatalan transaksi</x:v>
      </x:c>
      <x:c r="B2" s="4" t="str">
        <x:v>TS-35  Pembatalan transaksi</x:v>
      </x:c>
      <x:c r="C2" s="4" t="str">
        <x:v>TS-35  Pembatalan transaksi</x:v>
      </x:c>
      <x:c r="D2" s="4" t="str">
        <x:v>TS-35  Pembatalan transaksi</x:v>
      </x:c>
      <x:c r="E2" s="4" t="str">
        <x:v>TS-35  Pembatalan transaksi</x:v>
      </x:c>
      <x:c r="F2" s="4" t="str">
        <x:v>TS-35  Pembatalan transaksi</x:v>
      </x:c>
      <x:c r="G2" s="4" t="str">
        <x:v>TS-35  Pembatalan transaksi</x:v>
      </x:c>
      <x:c r="H2" s="4" t="str">
        <x:v>TS-35  Pembatalan transaksi</x:v>
      </x:c>
      <x:c r="I2" s="4" t="str">
        <x:v>TS-35  Pembatalan transaksi</x:v>
      </x:c>
      <x:c r="J2" s="4" t="str">
        <x:v>TS-35  Pembatalan transaksi</x:v>
      </x:c>
    </x:row>
    <x:row r="3" ht="20" customHeight="1">
      <x:c r="A3" s="5" t="str">
        <x:v>TC-35-01 sampai TC-35-05  |  5 test case  |  Rancangan revisi 0.2</x:v>
      </x:c>
      <x:c r="B3" s="5" t="str">
        <x:v>TC-35-01 sampai TC-35-05  |  5 test case  |  Rancangan revisi 0.2</x:v>
      </x:c>
      <x:c r="C3" s="5" t="str">
        <x:v>TC-35-01 sampai TC-35-05  |  5 test case  |  Rancangan revisi 0.2</x:v>
      </x:c>
      <x:c r="D3" s="5" t="str">
        <x:v>TC-35-01 sampai TC-35-05  |  5 test case  |  Rancangan revisi 0.2</x:v>
      </x:c>
      <x:c r="E3" s="5" t="str">
        <x:v>TC-35-01 sampai TC-35-05  |  5 test case  |  Rancangan revisi 0.2</x:v>
      </x:c>
      <x:c r="F3" s="5" t="str">
        <x:v>TC-35-01 sampai TC-35-05  |  5 test case  |  Rancangan revisi 0.2</x:v>
      </x:c>
      <x:c r="G3" s="5" t="str">
        <x:v>TC-35-01 sampai TC-35-05  |  5 test case  |  Rancangan revisi 0.2</x:v>
      </x:c>
      <x:c r="H3" s="5" t="str">
        <x:v>TC-35-01 sampai TC-35-05  |  5 test case  |  Rancangan revisi 0.2</x:v>
      </x:c>
      <x:c r="I3" s="5" t="str">
        <x:v>TC-35-01 sampai TC-35-05  |  5 test case  |  Rancangan revisi 0.2</x:v>
      </x:c>
      <x:c r="J3" s="5" t="str">
        <x:v>TC-35-01 sampai TC-35-05  |  5 test case  |  Rancangan revisi 0.2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A5" s="7" t="str">
        <x:v>Module Name</x:v>
      </x:c>
      <x:c r="B5" s="7" t="str">
        <x:v>Module Name</x:v>
      </x:c>
      <x:c r="C5" s="3" t="str">
        <x:v>Pembatalan transaksi</x:v>
      </x:c>
      <x:c r="D5" s="3" t="str">
        <x:v>Pembatalan transaksi</x:v>
      </x:c>
      <x:c r="E5" s="3" t="str">
        <x:v>Pembatalan transaksi</x:v>
      </x:c>
      <x:c r="F5" s="3" t="str">
        <x:v>Pembatalan transaksi</x:v>
      </x:c>
      <x:c r="G5" s="7" t="str">
        <x:v>Scenario ID</x:v>
      </x:c>
      <x:c r="H5" s="7" t="str">
        <x:v>Scenario ID</x:v>
      </x:c>
      <x:c r="I5" s="3" t="str">
        <x:v>TS-35</x:v>
      </x:c>
      <x:c r="J5" s="3" t="str">
        <x:v>TS-35</x:v>
      </x:c>
    </x:row>
    <x:row r="6" ht="23" customHeight="1">
      <x:c r="A6" s="7" t="str">
        <x:v>Reference Document</x:v>
      </x:c>
      <x:c r="B6" s="7" t="str">
        <x:v>Reference Document</x:v>
      </x:c>
      <x:c r="C6" s="3" t="str">
        <x:v>MarketTrust_Pengujian_Revisi_02.docx, revisi 0.2, 15 Oktober 2026</x:v>
      </x:c>
      <x:c r="D6" s="3" t="str">
        <x:v>MarketTrust_Pengujian_Revisi_02.docx, revisi 0.2, 15 Oktober 2026</x:v>
      </x:c>
      <x:c r="E6" s="3" t="str">
        <x:v>MarketTrust_Pengujian_Revisi_02.docx, revisi 0.2, 15 Oktober 2026</x:v>
      </x:c>
      <x:c r="F6" s="3" t="str">
        <x:v>MarketTrust_Pengujian_Revisi_02.docx, revisi 0.2, 15 Oktober 2026</x:v>
      </x:c>
      <x:c r="G6" s="3" t="str">
        <x:v>MarketTrust_Pengujian_Revisi_02.docx, revisi 0.2, 15 Oktober 2026</x:v>
      </x:c>
      <x:c r="H6" s="3" t="str">
        <x:v>MarketTrust_Pengujian_Revisi_02.docx, revisi 0.2, 15 Oktober 2026</x:v>
      </x:c>
      <x:c r="I6" s="3" t="str">
        <x:v>MarketTrust_Pengujian_Revisi_02.docx, revisi 0.2, 15 Oktober 2026</x:v>
      </x:c>
      <x:c r="J6" s="3" t="str">
        <x:v>MarketTrust_Pengujian_Revisi_02.docx, revisi 0.2, 15 Oktober 2026</x:v>
      </x:c>
    </x:row>
    <x:row r="7" ht="23" customHeight="1">
      <x:c r="A7" s="7" t="str">
        <x:v>Created by</x:v>
      </x:c>
      <x:c r="B7" s="7" t="str">
        <x:v>Created by</x:v>
      </x:c>
      <x:c r="C7" s="3" t="str">
        <x:v>Tim MarketTrust</x:v>
      </x:c>
      <x:c r="D7" s="3" t="str">
        <x:v>Tim MarketTrust</x:v>
      </x:c>
      <x:c r="E7" s="7" t="str">
        <x:v>Penguji</x:v>
      </x:c>
      <x:c r="F7" s="7" t="str">
        <x:v>Penguji</x:v>
      </x:c>
      <x:c r="G7" s="8"/>
      <x:c r="H7" s="8"/>
      <x:c r="I7" s="8"/>
      <x:c r="J7" s="8"/>
    </x:row>
    <x:row r="8" ht="23" customHeight="1">
      <x:c r="A8" s="7" t="str">
        <x:v>Date of creation</x:v>
      </x:c>
      <x:c r="B8" s="7" t="str">
        <x:v>Date of creation</x:v>
      </x:c>
      <x:c r="C8" s="9" t="d">
        <x:v>2026-10-15T00:00:00.000Z</x:v>
      </x:c>
      <x:c r="D8" s="9" t="d">
        <x:v>2026-10-15T00:00:00.000Z</x:v>
      </x:c>
      <x:c r="E8" s="7" t="str">
        <x:v>Date of review</x:v>
      </x:c>
      <x:c r="F8" s="7" t="str">
        <x:v>Date of review</x:v>
      </x:c>
      <x:c r="G8" s="10"/>
      <x:c r="H8" s="10"/>
      <x:c r="I8" s="10"/>
      <x:c r="J8" s="10"/>
    </x:row>
    <x:row r="9" ht="23" customHeight="1">
      <x:c r="A9" s="7" t="str">
        <x:v>Run ID</x:v>
      </x:c>
      <x:c r="B9" s="7" t="str">
        <x:v>Run ID</x:v>
      </x:c>
      <x:c r="C9" s="8"/>
      <x:c r="D9" s="8"/>
      <x:c r="E9" s="7" t="str">
        <x:v>Build atau Commit</x:v>
      </x:c>
      <x:c r="F9" s="7" t="str">
        <x:v>Build atau Commit</x:v>
      </x:c>
      <x:c r="G9" s="8"/>
      <x:c r="H9" s="8"/>
      <x:c r="I9" s="8"/>
      <x:c r="J9" s="8"/>
    </x:row>
    <x:row r="10" ht="23" customHeight="1">
      <x:c r="A10" s="7" t="str">
        <x:v>Metode dan alat</x:v>
      </x:c>
      <x:c r="B10" s="7" t="str">
        <x:v>Metode dan alat</x:v>
      </x:c>
      <x:c r="C10" s="8"/>
      <x:c r="D10" s="8"/>
      <x:c r="E10" s="7" t="str">
        <x:v>OS Browser dan Waktu Uji</x:v>
      </x:c>
      <x:c r="F10" s="7" t="str">
        <x:v>OS Browser dan Waktu Uji</x:v>
      </x:c>
      <x:c r="G10" s="8"/>
      <x:c r="H10" s="8"/>
      <x:c r="I10" s="8"/>
      <x:c r="J10" s="8"/>
    </x:row>
    <x:row r="11" ht="24" customHeight="1">
      <x:c r="A11" s="13" t="str">
        <x:v>Total</x:v>
      </x:c>
      <x:c r="B11" s="14" t="n">
        <x:f>COUNTA(A14:A18)</x:f>
        <x:v>5</x:v>
      </x:c>
      <x:c r="C11" s="13" t="str">
        <x:v>Pass</x:v>
      </x:c>
      <x:c r="D11" s="14" t="n">
        <x:f>COUNTIFS(J14:J18,"Pass")</x:f>
        <x:v>0</x:v>
      </x:c>
      <x:c r="E11" s="13" t="str">
        <x:v>Fail</x:v>
      </x:c>
      <x:c r="F11" s="14" t="n">
        <x:f>COUNTIFS(J14:J18,"Fail")</x:f>
        <x:v>0</x:v>
      </x:c>
      <x:c r="G11" s="13" t="str">
        <x:v>Blocked</x:v>
      </x:c>
      <x:c r="H11" s="14" t="n">
        <x:f>COUNTIFS(J14:J18,"Blocked")</x:f>
        <x:v>0</x:v>
      </x:c>
      <x:c r="I11" s="13" t="str">
        <x:v>Not Run</x:v>
      </x:c>
      <x:c r="J11" s="14" t="n">
        <x:f>COUNTIFS(J14:J18,"Not Run")</x:f>
        <x:v>5</x:v>
      </x:c>
    </x:row>
    <x:row r="12" ht="32" customHeight="1">
      <x:c r="A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B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C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D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E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F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G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H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I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  <x:c r="J12" s="15" t="str">
        <x:v>Isi Actual Result, bukti/Bug ID dan Status setelah pengujian. Uji tiap input/aktor sebagai dataset terpisah. Kasus induk Pass setelah semua dataset wajib Pass. Review/TBD adalah kesiapan desain. Sel kuning dapat diisi. Simpan salinan file untuk setiap Run ID.</x:v>
      </x:c>
    </x:row>
    <x:row r="13" ht="35" customHeight="1">
      <x:c r="A13" s="17" t="str">
        <x:v>TEST CASE ID</x:v>
      </x:c>
      <x:c r="B13" s="17" t="str">
        <x:v>TEST SCENARIO</x:v>
      </x:c>
      <x:c r="C13" s="17" t="str">
        <x:v>TEST CASE</x:v>
      </x:c>
      <x:c r="D13" s="17" t="str">
        <x:v>PRE-CONDITION</x:v>
      </x:c>
      <x:c r="E13" s="17" t="str">
        <x:v>TEST STEPS</x:v>
      </x:c>
      <x:c r="F13" s="17" t="str">
        <x:v>TEST DATA</x:v>
      </x:c>
      <x:c r="G13" s="17" t="str">
        <x:v>EXPECTED RESULT</x:v>
      </x:c>
      <x:c r="H13" s="17" t="str">
        <x:v>POST CONDITION</x:v>
      </x:c>
      <x:c r="I13" s="17" t="str">
        <x:v>ACTUAL RESULT</x:v>
      </x:c>
      <x:c r="J13" s="17" t="str">
        <x:v>STATUS</x:v>
      </x:c>
    </x:row>
    <x:row r="14" ht="100" customHeight="1">
      <x:c r="A14" s="22" t="str">
        <x:v>TC-35-01</x:v>
      </x:c>
      <x:c r="B14" s="23" t="str">
        <x:v>TS-35
Pembatalan transaksi</x:v>
      </x:c>
      <x:c r="C14" s="23" t="str">
        <x:v>Buyer batal sebelum bayar
Prioritas: P1
Desain: Review</x:v>
      </x:c>
      <x:c r="D14" s="23" t="str">
        <x:v>Buyer A dan Seller B; transaksi belum dibayar, sudah dibayar, dan terminal tersedia; kebijakan pembatalan disahkan.</x:v>
      </x:c>
      <x:c r="E14" s="23" t="str">
        <x:v>1. Buyer batalkan WAITING_PAYMENT
2. ulangi request.</x:v>
      </x:c>
      <x:c r="F14" s="23" t="str">
        <x:v>Buyer A/Seller B; transaksi belum bayar, PAID dan terminal; alasan pembatalan dan kebijakan D08.</x:v>
      </x:c>
      <x:c r="G14" s="23" t="str">
        <x:v>Pembatalan diterima sekali; tidak ada settlement; histori pernah membatalkan tercatat menurut kebijakan.</x:v>
      </x:c>
      <x:c r="H14" s="23" t="str">
        <x:v>Pembatalan sah tercatat sekali; status terminal dan settlement tetap utuh pada aksi yang dilarang.</x:v>
      </x:c>
      <x:c r="I14" s="24"/>
      <x:c r="J14" s="25" t="str">
        <x:v>Not Run</x:v>
      </x:c>
    </x:row>
    <x:row r="15" ht="100" customHeight="1">
      <x:c r="A15" s="22" t="str">
        <x:v>TC-35-02</x:v>
      </x:c>
      <x:c r="B15" s="23" t="str">
        <x:v>TS-35
Pembatalan transaksi</x:v>
      </x:c>
      <x:c r="C15" s="23" t="str">
        <x:v>Seller batal sebelum bayar
Prioritas: P1
Desain: Review</x:v>
      </x:c>
      <x:c r="D15" s="23" t="str">
        <x:v>Buyer A dan Seller B; transaksi belum dibayar, sudah dibayar, dan terminal tersedia; kebijakan pembatalan disahkan.</x:v>
      </x:c>
      <x:c r="E15" s="23" t="str">
        <x:v>1. Seller batalkan transaksi belum dibayar.</x:v>
      </x:c>
      <x:c r="F15" s="23" t="str">
        <x:v>Buyer A/Seller B; transaksi belum bayar, PAID dan terminal; alasan pembatalan dan kebijakan D08.</x:v>
      </x:c>
      <x:c r="G15" s="23" t="str">
        <x:v>Pembatalan sah tercatat; tidak ada payout/refund atas dana yang belum dibayar.</x:v>
      </x:c>
      <x:c r="H15" s="23" t="str">
        <x:v>Pembatalan sah tercatat sekali; status terminal dan settlement tetap utuh pada aksi yang dilarang.</x:v>
      </x:c>
      <x:c r="I15" s="24"/>
      <x:c r="J15" s="25" t="str">
        <x:v>Not Run</x:v>
      </x:c>
    </x:row>
    <x:row r="16" ht="107" customHeight="1">
      <x:c r="A16" s="22" t="str">
        <x:v>TC-35-03</x:v>
      </x:c>
      <x:c r="B16" s="23" t="str">
        <x:v>TS-35
Pembatalan transaksi</x:v>
      </x:c>
      <x:c r="C16" s="23" t="str">
        <x:v>Pembatalan setelah bayar
Prioritas: P1
Desain: TBD</x:v>
      </x:c>
      <x:c r="D16" s="23" t="str">
        <x:v>Buyer A dan Seller B; transaksi belum dibayar, sudah dibayar, dan terminal tersedia; kebijakan pembatalan disahkan.</x:v>
      </x:c>
      <x:c r="E16" s="23" t="str">
        <x:v>1. Seller mengajukan pembatalan PAID dengan alasan
2. uji Buyer membatalkan secara terpisah.</x:v>
      </x:c>
      <x:c r="F16" s="23" t="str">
        <x:v>Buyer A/Seller B; transaksi belum bayar, PAID dan terminal; alasan pembatalan dan kebijakan D08.
TBD: lengkapi aturan/data yang belum disahkan sebelum menjalankan kasus ini.</x:v>
      </x:c>
      <x:c r="G16" s="23" t="str">
        <x:v>Hak aktor, pengembalian dana dan potongan mengikuti D08; tidak menganggap seluruh aktor bebas membatalkan setelah bayar.</x:v>
      </x:c>
      <x:c r="H16" s="23" t="str">
        <x:v>Pembatalan sah tercatat sekali; status terminal dan settlement tetap utuh pada aksi yang dilarang.</x:v>
      </x:c>
      <x:c r="I16" s="24"/>
      <x:c r="J16" s="25" t="str">
        <x:v>Not Run</x:v>
      </x:c>
    </x:row>
    <x:row r="17" ht="107" customHeight="1">
      <x:c r="A17" s="22" t="str">
        <x:v>TC-35-04</x:v>
      </x:c>
      <x:c r="B17" s="23" t="str">
        <x:v>TS-35
Pembatalan transaksi</x:v>
      </x:c>
      <x:c r="C17" s="23" t="str">
        <x:v>Pembatalan tanpa alasan
Prioritas: P1
Desain: TBD</x:v>
      </x:c>
      <x:c r="D17" s="23" t="str">
        <x:v>Buyer A dan Seller B; transaksi belum dibayar, sudah dibayar, dan terminal tersedia; kebijakan pembatalan disahkan.</x:v>
      </x:c>
      <x:c r="E17" s="23" t="str">
        <x:v>1. Ajukan pembatalan tanpa alasan pada tahap yang mewajibkan alasan.</x:v>
      </x:c>
      <x:c r="F17" s="23" t="str">
        <x:v>Buyer A/Seller B; transaksi belum bayar, PAID dan terminal; alasan pembatalan dan kebijakan D08.
TBD: lengkapi aturan/data yang belum disahkan sebelum menjalankan kasus ini.</x:v>
      </x:c>
      <x:c r="G17" s="23" t="str">
        <x:v>Validasi dan penetapan problematik mengikuti keputusan review D08; tidak memberi label berdasarkan asumsi tester.</x:v>
      </x:c>
      <x:c r="H17" s="23" t="str">
        <x:v>Pembatalan sah tercatat sekali; status terminal dan settlement tetap utuh pada aksi yang dilarang.</x:v>
      </x:c>
      <x:c r="I17" s="24"/>
      <x:c r="J17" s="25" t="str">
        <x:v>Not Run</x:v>
      </x:c>
    </x:row>
    <x:row r="18" ht="100" customHeight="1">
      <x:c r="A18" s="22" t="str">
        <x:v>TC-35-05</x:v>
      </x:c>
      <x:c r="B18" s="23" t="str">
        <x:v>TS-35
Pembatalan transaksi</x:v>
      </x:c>
      <x:c r="C18" s="23" t="str">
        <x:v>Pembatalan status terminal
Prioritas: P1
Desain: Review</x:v>
      </x:c>
      <x:c r="D18" s="23" t="str">
        <x:v>Buyer A dan Seller B; transaksi belum dibayar, sudah dibayar, dan terminal tersedia; kebijakan pembatalan disahkan.</x:v>
      </x:c>
      <x:c r="E18" s="23" t="str">
        <x:v>1. Buyer/Seller batalkan COMPLETED atau REFUNDED
2. ulangi request bersamaan.</x:v>
      </x:c>
      <x:c r="F18" s="23" t="str">
        <x:v>Buyer A/Seller B; transaksi belum bayar, PAID dan terminal; alasan pembatalan dan kebijakan D08.</x:v>
      </x:c>
      <x:c r="G18" s="23" t="str">
        <x:v>Ditolak; settlement, status final dan riwayat tidak berubah.</x:v>
      </x:c>
      <x:c r="H18" s="23" t="str">
        <x:v>Pembatalan sah tercatat sekali; status terminal dan settlement tetap utuh pada aksi yang dilarang.</x:v>
      </x:c>
      <x:c r="I18" s="24"/>
      <x:c r="J18" s="25" t="str">
        <x:v>Not Run</x:v>
      </x:c>
    </x:row>
  </x:sheetData>
  <x:mergeCells>
    <x:mergeCell ref="A2:J2"/>
    <x:mergeCell ref="A3:J3"/>
    <x:mergeCell ref="A5:B5"/>
    <x:mergeCell ref="C5:F5"/>
    <x:mergeCell ref="G5:H5"/>
    <x:mergeCell ref="I5:J5"/>
    <x:mergeCell ref="A6:B6"/>
    <x:mergeCell ref="C6:J6"/>
    <x:mergeCell ref="A7:B7"/>
    <x:mergeCell ref="C7:D7"/>
    <x:mergeCell ref="E7:F7"/>
    <x:mergeCell ref="G7:J7"/>
    <x:mergeCell ref="A8:B8"/>
    <x:mergeCell ref="C8:D8"/>
    <x:mergeCell ref="E8:F8"/>
    <x:mergeCell ref="G8:J8"/>
    <x:mergeCell ref="A9:B9"/>
    <x:mergeCell ref="C9:D9"/>
    <x:mergeCell ref="E9:F9"/>
    <x:mergeCell ref="G9:J9"/>
    <x:mergeCell ref="A10:B10"/>
    <x:mergeCell ref="C10:D10"/>
    <x:mergeCell ref="E10:F10"/>
    <x:mergeCell ref="G10:J10"/>
    <x:mergeCell ref="A12:J12"/>
  </x:mergeCells>
  <x:conditionalFormatting sqref="J14:J18">
    <x:cfRule type="containsText" dxfId="136" priority="1" operator="containsText" text="Pass"/>
    <x:cfRule type="containsText" dxfId="137" priority="2" operator="containsText" text="Fail"/>
    <x:cfRule type="containsText" dxfId="138" priority="3" operator="containsText" text="Blocked"/>
    <x:cfRule type="containsText" dxfId="139" priority="4" operator="containsText" text="Not Run"/>
  </x:conditionalFormatting>
  <x:dataValidations count="1">
    <x:dataValidation type="list" sqref="J14:J18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f4165901d54c74"/>
  </x:tableParts>
</x:worksheet>
</file>